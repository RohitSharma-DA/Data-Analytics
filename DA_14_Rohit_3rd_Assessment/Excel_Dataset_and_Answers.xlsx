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0\Downloads\DA_14_Rohit_3rd_Assessment\"/>
    </mc:Choice>
  </mc:AlternateContent>
  <xr:revisionPtr revIDLastSave="0" documentId="8_{F8A1A32F-26D9-4FCE-ABB6-C92F84B7A0E0}" xr6:coauthVersionLast="47" xr6:coauthVersionMax="47" xr10:uidLastSave="{00000000-0000-0000-0000-000000000000}"/>
  <bookViews>
    <workbookView xWindow="-110" yWindow="-110" windowWidth="19420" windowHeight="10300" firstSheet="2" activeTab="5" xr2:uid="{CD98AAA9-26C6-4743-B804-527DB721F5D1}"/>
  </bookViews>
  <sheets>
    <sheet name="Customers" sheetId="5" r:id="rId1"/>
    <sheet name="ReadMe" sheetId="7" r:id="rId2"/>
    <sheet name="SalesData" sheetId="6" r:id="rId3"/>
    <sheet name="ProductMaster" sheetId="4" r:id="rId4"/>
    <sheet name="Q5Answers" sheetId="12" r:id="rId5"/>
    <sheet name="Q1&amp;Q2&amp;Q4&amp;Orders" sheetId="3" r:id="rId6"/>
    <sheet name="OrderDetails" sheetId="2" r:id="rId7"/>
    <sheet name="Q3Answers" sheetId="1" r:id="rId8"/>
  </sheets>
  <definedNames>
    <definedName name="ExternalData_1" localSheetId="6" hidden="1">OrderDetails!$A$1:$E$218</definedName>
    <definedName name="ExternalData_2" localSheetId="5" hidden="1">'Q1&amp;Q2&amp;Q4&amp;Orders'!$A$1:$D$101</definedName>
    <definedName name="ExternalData_3" localSheetId="3" hidden="1">ProductMaster!$A$1:$E$16</definedName>
    <definedName name="ExternalData_4" localSheetId="0" hidden="1">'Customers'!$A$1:$D$36</definedName>
    <definedName name="ExternalData_5" localSheetId="2" hidden="1">SalesData!$A$1:$Q$218</definedName>
    <definedName name="ExternalData_6" localSheetId="1" hidden="1">'ReadMe'!$A$1:$A$9</definedName>
  </definedNames>
  <calcPr calcId="191029"/>
  <pivotCaches>
    <pivotCache cacheId="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J2" i="3"/>
  <c r="E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G2" i="3"/>
  <c r="I2" i="3" s="1"/>
  <c r="G3" i="3"/>
  <c r="I3" i="3" s="1"/>
  <c r="G4" i="3"/>
  <c r="I4" i="3" s="1"/>
  <c r="G5" i="3"/>
  <c r="I5" i="3" s="1"/>
  <c r="G6" i="3"/>
  <c r="I6" i="3" s="1"/>
  <c r="G7" i="3"/>
  <c r="I7" i="3" s="1"/>
  <c r="G8" i="3"/>
  <c r="I8" i="3" s="1"/>
  <c r="G9" i="3"/>
  <c r="I9" i="3" s="1"/>
  <c r="G10" i="3"/>
  <c r="I10" i="3" s="1"/>
  <c r="G11" i="3"/>
  <c r="I11" i="3" s="1"/>
  <c r="G12" i="3"/>
  <c r="I12" i="3" s="1"/>
  <c r="G13" i="3"/>
  <c r="I13" i="3" s="1"/>
  <c r="G14" i="3"/>
  <c r="I14" i="3" s="1"/>
  <c r="G15" i="3"/>
  <c r="I15" i="3" s="1"/>
  <c r="G16" i="3"/>
  <c r="I16" i="3" s="1"/>
  <c r="G17" i="3"/>
  <c r="I17" i="3" s="1"/>
  <c r="G18" i="3"/>
  <c r="I18" i="3" s="1"/>
  <c r="G19" i="3"/>
  <c r="I19" i="3" s="1"/>
  <c r="G20" i="3"/>
  <c r="I20" i="3" s="1"/>
  <c r="G21" i="3"/>
  <c r="I21" i="3" s="1"/>
  <c r="G22" i="3"/>
  <c r="I22" i="3" s="1"/>
  <c r="G23" i="3"/>
  <c r="I23" i="3" s="1"/>
  <c r="G24" i="3"/>
  <c r="I24" i="3" s="1"/>
  <c r="G25" i="3"/>
  <c r="I25" i="3" s="1"/>
  <c r="G26" i="3"/>
  <c r="I26" i="3" s="1"/>
  <c r="G27" i="3"/>
  <c r="I27" i="3" s="1"/>
  <c r="G28" i="3"/>
  <c r="I28" i="3" s="1"/>
  <c r="G29" i="3"/>
  <c r="I29" i="3" s="1"/>
  <c r="G30" i="3"/>
  <c r="I30" i="3" s="1"/>
  <c r="G31" i="3"/>
  <c r="I31" i="3" s="1"/>
  <c r="G32" i="3"/>
  <c r="I32" i="3" s="1"/>
  <c r="G33" i="3"/>
  <c r="I33" i="3" s="1"/>
  <c r="G34" i="3"/>
  <c r="I34" i="3" s="1"/>
  <c r="G35" i="3"/>
  <c r="I35" i="3" s="1"/>
  <c r="G36" i="3"/>
  <c r="I36" i="3" s="1"/>
  <c r="G37" i="3"/>
  <c r="I37" i="3" s="1"/>
  <c r="G38" i="3"/>
  <c r="I38" i="3" s="1"/>
  <c r="G39" i="3"/>
  <c r="I39" i="3" s="1"/>
  <c r="G40" i="3"/>
  <c r="I40" i="3" s="1"/>
  <c r="G41" i="3"/>
  <c r="I41" i="3" s="1"/>
  <c r="G42" i="3"/>
  <c r="I42" i="3" s="1"/>
  <c r="G43" i="3"/>
  <c r="I43" i="3" s="1"/>
  <c r="G44" i="3"/>
  <c r="I44" i="3" s="1"/>
  <c r="G45" i="3"/>
  <c r="I45" i="3" s="1"/>
  <c r="G46" i="3"/>
  <c r="I46" i="3" s="1"/>
  <c r="G47" i="3"/>
  <c r="I47" i="3" s="1"/>
  <c r="G48" i="3"/>
  <c r="I48" i="3" s="1"/>
  <c r="G49" i="3"/>
  <c r="I49" i="3" s="1"/>
  <c r="G50" i="3"/>
  <c r="I50" i="3" s="1"/>
  <c r="G51" i="3"/>
  <c r="I51" i="3" s="1"/>
  <c r="G52" i="3"/>
  <c r="I52" i="3" s="1"/>
  <c r="G53" i="3"/>
  <c r="I53" i="3" s="1"/>
  <c r="G54" i="3"/>
  <c r="I54" i="3" s="1"/>
  <c r="G55" i="3"/>
  <c r="I55" i="3" s="1"/>
  <c r="G56" i="3"/>
  <c r="I56" i="3" s="1"/>
  <c r="G57" i="3"/>
  <c r="I57" i="3" s="1"/>
  <c r="G58" i="3"/>
  <c r="I58" i="3" s="1"/>
  <c r="G59" i="3"/>
  <c r="I59" i="3" s="1"/>
  <c r="G60" i="3"/>
  <c r="I60" i="3" s="1"/>
  <c r="G61" i="3"/>
  <c r="I61" i="3" s="1"/>
  <c r="G62" i="3"/>
  <c r="I62" i="3" s="1"/>
  <c r="G63" i="3"/>
  <c r="I63" i="3" s="1"/>
  <c r="G64" i="3"/>
  <c r="I64" i="3" s="1"/>
  <c r="G65" i="3"/>
  <c r="I65" i="3" s="1"/>
  <c r="G66" i="3"/>
  <c r="I66" i="3" s="1"/>
  <c r="G67" i="3"/>
  <c r="I67" i="3" s="1"/>
  <c r="G68" i="3"/>
  <c r="I68" i="3" s="1"/>
  <c r="G69" i="3"/>
  <c r="I69" i="3" s="1"/>
  <c r="G70" i="3"/>
  <c r="I70" i="3" s="1"/>
  <c r="G71" i="3"/>
  <c r="I71" i="3" s="1"/>
  <c r="G72" i="3"/>
  <c r="I72" i="3" s="1"/>
  <c r="G73" i="3"/>
  <c r="I73" i="3" s="1"/>
  <c r="G74" i="3"/>
  <c r="I74" i="3" s="1"/>
  <c r="G75" i="3"/>
  <c r="I75" i="3" s="1"/>
  <c r="G76" i="3"/>
  <c r="I76" i="3" s="1"/>
  <c r="G77" i="3"/>
  <c r="I77" i="3" s="1"/>
  <c r="G78" i="3"/>
  <c r="I78" i="3" s="1"/>
  <c r="G79" i="3"/>
  <c r="I79" i="3" s="1"/>
  <c r="G80" i="3"/>
  <c r="I80" i="3" s="1"/>
  <c r="G81" i="3"/>
  <c r="I81" i="3" s="1"/>
  <c r="G82" i="3"/>
  <c r="I82" i="3" s="1"/>
  <c r="G83" i="3"/>
  <c r="I83" i="3" s="1"/>
  <c r="G84" i="3"/>
  <c r="I84" i="3" s="1"/>
  <c r="G85" i="3"/>
  <c r="I85" i="3" s="1"/>
  <c r="G86" i="3"/>
  <c r="I86" i="3" s="1"/>
  <c r="G87" i="3"/>
  <c r="I87" i="3" s="1"/>
  <c r="G88" i="3"/>
  <c r="I88" i="3" s="1"/>
  <c r="G89" i="3"/>
  <c r="I89" i="3" s="1"/>
  <c r="G90" i="3"/>
  <c r="I90" i="3" s="1"/>
  <c r="G91" i="3"/>
  <c r="I91" i="3" s="1"/>
  <c r="G92" i="3"/>
  <c r="I92" i="3" s="1"/>
  <c r="G93" i="3"/>
  <c r="I93" i="3" s="1"/>
  <c r="G94" i="3"/>
  <c r="I94" i="3" s="1"/>
  <c r="G95" i="3"/>
  <c r="I95" i="3" s="1"/>
  <c r="G96" i="3"/>
  <c r="I96" i="3" s="1"/>
  <c r="G97" i="3"/>
  <c r="I97" i="3" s="1"/>
  <c r="G98" i="3"/>
  <c r="I98" i="3" s="1"/>
  <c r="G99" i="3"/>
  <c r="I99" i="3" s="1"/>
  <c r="G100" i="3"/>
  <c r="I100" i="3" s="1"/>
  <c r="G101" i="3"/>
  <c r="I101" i="3" s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4C1BF8-2E7A-4749-B93D-CC7122A586FE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3C08117A-DBD3-4998-938A-F2C08A03E5FE}" keepAlive="1" name="Query - OrderDetails" description="Connection to the 'OrderDetails' query in the workbook." type="5" refreshedVersion="8" background="1" saveData="1">
    <dbPr connection="Provider=Microsoft.Mashup.OleDb.1;Data Source=$Workbook$;Location=OrderDetails;Extended Properties=&quot;&quot;" command="SELECT * FROM [OrderDetails]"/>
  </connection>
  <connection id="3" xr16:uid="{A506A867-27D8-47D9-8F05-E2DD9F55029F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601D48B3-5E3D-4F5E-8038-D74B12879A06}" keepAlive="1" name="Query - ProductMaster" description="Connection to the 'ProductMaster' query in the workbook." type="5" refreshedVersion="8" background="1" saveData="1">
    <dbPr connection="Provider=Microsoft.Mashup.OleDb.1;Data Source=$Workbook$;Location=ProductMaster;Extended Properties=&quot;&quot;" command="SELECT * FROM [ProductMaster]"/>
  </connection>
  <connection id="5" xr16:uid="{F92A2058-5C94-4DDD-8416-F40D6FAC5BEF}" keepAlive="1" name="Query - ReadMe" description="Connection to the 'ReadMe' query in the workbook." type="5" refreshedVersion="8" background="1" saveData="1">
    <dbPr connection="Provider=Microsoft.Mashup.OleDb.1;Data Source=$Workbook$;Location=ReadMe;Extended Properties=&quot;&quot;" command="SELECT * FROM [ReadMe]"/>
  </connection>
  <connection id="6" xr16:uid="{6D08210E-35C3-4A1A-B372-2CB16DAD8464}" keepAlive="1" name="Query - SalesData" description="Connection to the 'SalesData' query in the workbook." type="5" refreshedVersion="8" background="1" saveData="1">
    <dbPr connection="Provider=Microsoft.Mashup.OleDb.1;Data Source=$Workbook$;Location=SalesData;Extended Properties=&quot;&quot;" command="SELECT * FROM [SalesData]"/>
  </connection>
</connections>
</file>

<file path=xl/sharedStrings.xml><?xml version="1.0" encoding="utf-8"?>
<sst xmlns="http://schemas.openxmlformats.org/spreadsheetml/2006/main" count="1423" uniqueCount="116">
  <si>
    <t>OrderDetailID</t>
  </si>
  <si>
    <t>OrderID</t>
  </si>
  <si>
    <t>ProductID</t>
  </si>
  <si>
    <t>Quantity</t>
  </si>
  <si>
    <t>UnitPrice</t>
  </si>
  <si>
    <t>CustomerID</t>
  </si>
  <si>
    <t>OrderDate</t>
  </si>
  <si>
    <t>OrderStatus</t>
  </si>
  <si>
    <t>Shipped</t>
  </si>
  <si>
    <t>Delivered</t>
  </si>
  <si>
    <t>Pending</t>
  </si>
  <si>
    <t>Cancelled</t>
  </si>
  <si>
    <t>ProductName</t>
  </si>
  <si>
    <t>Category</t>
  </si>
  <si>
    <t>UnitCost</t>
  </si>
  <si>
    <t>Laptop</t>
  </si>
  <si>
    <t>Electronics</t>
  </si>
  <si>
    <t>Monitor</t>
  </si>
  <si>
    <t>Printer</t>
  </si>
  <si>
    <t>Tablet</t>
  </si>
  <si>
    <t>Chair</t>
  </si>
  <si>
    <t>Furniture</t>
  </si>
  <si>
    <t>Desk</t>
  </si>
  <si>
    <t>Bookshelf</t>
  </si>
  <si>
    <t>Mouse</t>
  </si>
  <si>
    <t>Accessories</t>
  </si>
  <si>
    <t>Keyboard</t>
  </si>
  <si>
    <t>Headset</t>
  </si>
  <si>
    <t>Webcam</t>
  </si>
  <si>
    <t>Router</t>
  </si>
  <si>
    <t>Networking</t>
  </si>
  <si>
    <t>Switch</t>
  </si>
  <si>
    <t>External SSD</t>
  </si>
  <si>
    <t>Storage</t>
  </si>
  <si>
    <t>USB Drive</t>
  </si>
  <si>
    <t>CustomerName</t>
  </si>
  <si>
    <t>City</t>
  </si>
  <si>
    <t>Region</t>
  </si>
  <si>
    <t>Aarav Gupta</t>
  </si>
  <si>
    <t>Pune</t>
  </si>
  <si>
    <t>West</t>
  </si>
  <si>
    <t>Diya Mehta</t>
  </si>
  <si>
    <t>Delhi</t>
  </si>
  <si>
    <t>North</t>
  </si>
  <si>
    <t>Aditya Kapoor</t>
  </si>
  <si>
    <t>Raipur</t>
  </si>
  <si>
    <t>Central</t>
  </si>
  <si>
    <t>Aarav Patel</t>
  </si>
  <si>
    <t>Mumbai</t>
  </si>
  <si>
    <t>Meera Kapoor</t>
  </si>
  <si>
    <t>Ananya Gupta</t>
  </si>
  <si>
    <t>Kavya Kapoor</t>
  </si>
  <si>
    <t>Chandigarh</t>
  </si>
  <si>
    <t>Reyansh Gupta</t>
  </si>
  <si>
    <t>Surat</t>
  </si>
  <si>
    <t>Ira Mehta</t>
  </si>
  <si>
    <t>Chennai</t>
  </si>
  <si>
    <t>South</t>
  </si>
  <si>
    <t>Vihaan Patel</t>
  </si>
  <si>
    <t>Kochi</t>
  </si>
  <si>
    <t>Sara Malhotra</t>
  </si>
  <si>
    <t>Ira Rao</t>
  </si>
  <si>
    <t>Indore</t>
  </si>
  <si>
    <t>Kabir Patel</t>
  </si>
  <si>
    <t>Ranchi</t>
  </si>
  <si>
    <t>East</t>
  </si>
  <si>
    <t>Kabir Reddy</t>
  </si>
  <si>
    <t>Diya Rao</t>
  </si>
  <si>
    <t>Diya Malhotra</t>
  </si>
  <si>
    <t>Ahmedabad</t>
  </si>
  <si>
    <t>Ira Joshi</t>
  </si>
  <si>
    <t>Patna</t>
  </si>
  <si>
    <t>Sara Iyer</t>
  </si>
  <si>
    <t>Jaipur</t>
  </si>
  <si>
    <t>Ira Jain</t>
  </si>
  <si>
    <t>Bhubaneswar</t>
  </si>
  <si>
    <t>Vivaan Verma</t>
  </si>
  <si>
    <t>Bengaluru</t>
  </si>
  <si>
    <t>Rohan Reddy</t>
  </si>
  <si>
    <t>Nisha Jain</t>
  </si>
  <si>
    <t>Ishaan Singh</t>
  </si>
  <si>
    <t>Lucknow</t>
  </si>
  <si>
    <t>Rohan Iyer</t>
  </si>
  <si>
    <t>Bhopal</t>
  </si>
  <si>
    <t>Meera Joshi</t>
  </si>
  <si>
    <t>Vihaan Mehta</t>
  </si>
  <si>
    <t>Dev Patel</t>
  </si>
  <si>
    <t>Dev Joshi</t>
  </si>
  <si>
    <t>Aarav Nair</t>
  </si>
  <si>
    <t>Nagpur</t>
  </si>
  <si>
    <t>Product</t>
  </si>
  <si>
    <t>Revenue</t>
  </si>
  <si>
    <t>TotalCost</t>
  </si>
  <si>
    <t>Profit</t>
  </si>
  <si>
    <t>ProfitMargin</t>
  </si>
  <si>
    <t>Dataset Notes</t>
  </si>
  <si>
    <t>Use SalesData for Excel Section A. It contains transaction-level sales records and calculated reference columns.</t>
  </si>
  <si>
    <t>For Excel questions, students should create their own formula-driven calculated columns instead of relying on Revenue, TotalCost, Profit, and ProfitMargin reference columns.</t>
  </si>
  <si>
    <t>ProductMaster is the product lookup table for Excel Question 4.</t>
  </si>
  <si>
    <t>For SQL Section B, use Customers, Products, Orders, and OrderDetails as separate relational tables.</t>
  </si>
  <si>
    <t>For Power BI Section C, students may import SalesData or build a model from the four relational tables.</t>
  </si>
  <si>
    <t>Data covers calendar year 2026. Amounts are in INR (₹).</t>
  </si>
  <si>
    <t>Intentional quality cases: CustomerID 35 has no orders; ProductID 15 has never been ordered; OrderID 1101 has no order-detail records.</t>
  </si>
  <si>
    <t>All records are synthetic and created for examination use.</t>
  </si>
  <si>
    <t>Total Revenue</t>
  </si>
  <si>
    <t>Total Cost</t>
  </si>
  <si>
    <t>ProfitClass</t>
  </si>
  <si>
    <t>Row Labels</t>
  </si>
  <si>
    <t>Grand Total</t>
  </si>
  <si>
    <t>Sum of Total Revenue</t>
  </si>
  <si>
    <t>Regional Revenue</t>
  </si>
  <si>
    <t>Regional Profit</t>
  </si>
  <si>
    <t>Regional Quantity</t>
  </si>
  <si>
    <t>Total Orders</t>
  </si>
  <si>
    <t>Product Cost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</si>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</sst>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10" fontId="0" fillId="0" borderId="0" xfId="0" applyNumberFormat="1"/>
    <xf numFmtId="4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44" fontId="0" fillId="2" borderId="1" xfId="0" applyNumberFormat="1" applyFill="1" applyBorder="1"/>
    <xf numFmtId="164" fontId="0" fillId="2" borderId="1" xfId="0" applyNumberFormat="1" applyFill="1" applyBorder="1"/>
    <xf numFmtId="10" fontId="0" fillId="2" borderId="1" xfId="0" applyNumberFormat="1" applyFill="1" applyBorder="1"/>
    <xf numFmtId="0" fontId="0" fillId="2" borderId="1" xfId="0" applyFill="1" applyBorder="1"/>
    <xf numFmtId="44" fontId="1" fillId="0" borderId="1" xfId="0" applyNumberFormat="1" applyFont="1" applyBorder="1"/>
    <xf numFmtId="164" fontId="1" fillId="0" borderId="1" xfId="0" applyNumberFormat="1" applyFont="1" applyBorder="1"/>
    <xf numFmtId="10" fontId="1" fillId="3" borderId="1" xfId="0" applyNumberFormat="1" applyFont="1" applyFill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21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solid">
          <fgColor indexed="64"/>
          <bgColor theme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4" formatCode="_ &quot;₹&quot;\ * #,##0.00_ ;_ &quot;₹&quot;\ * \-#,##0.00_ ;_ &quot;₹&quot;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4" formatCode="_ &quot;₹&quot;\ * #,##0.00_ ;_ &quot;₹&quot;\ * \-#,##0.00_ ;_ &quot;₹&quot;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50" refreshedDate="46319.721408333331" createdVersion="8" refreshedVersion="8" minRefreshableVersion="3" recordCount="100" xr:uid="{7307FFC7-D71D-4507-A370-58A5377D5145}">
  <cacheSource type="worksheet">
    <worksheetSource name="Orders"/>
  </cacheSource>
  <cacheFields count="13">
    <cacheField name="OrderID" numFmtId="0">
      <sharedItems containsSemiMixedTypes="0" containsString="0" containsNumber="1" containsInteger="1" minValue="1001" maxValue="1100"/>
    </cacheField>
    <cacheField name="CustomerID" numFmtId="0">
      <sharedItems containsSemiMixedTypes="0" containsString="0" containsNumber="1" containsInteger="1" minValue="1" maxValue="34"/>
    </cacheField>
    <cacheField name="OrderDate" numFmtId="0">
      <sharedItems containsSemiMixedTypes="0" containsString="0" containsNumber="1" containsInteger="1" minValue="46026" maxValue="46385"/>
    </cacheField>
    <cacheField name="OrderStatus" numFmtId="0">
      <sharedItems/>
    </cacheField>
    <cacheField name="Total Revenue" numFmtId="44">
      <sharedItems containsSemiMixedTypes="0" containsString="0" containsNumber="1" containsInteger="1" minValue="4050" maxValue="645000"/>
    </cacheField>
    <cacheField name="Total Cost" numFmtId="44">
      <sharedItems containsSemiMixedTypes="0" containsString="0" containsNumber="1" containsInteger="1" minValue="3000" maxValue="583700"/>
    </cacheField>
    <cacheField name="Profit" numFmtId="164">
      <sharedItems containsSemiMixedTypes="0" containsString="0" containsNumber="1" containsInteger="1" minValue="1050" maxValue="111400"/>
    </cacheField>
    <cacheField name="ProfitMargin" numFmtId="10">
      <sharedItems containsSemiMixedTypes="0" containsString="0" containsNumber="1" minValue="0.10493827160493829" maxValue="0.4"/>
    </cacheField>
    <cacheField name="ProfitClass" numFmtId="0">
      <sharedItems/>
    </cacheField>
    <cacheField name="Region" numFmtId="0">
      <sharedItems count="5">
        <s v="North"/>
        <s v="East"/>
        <s v="West"/>
        <s v="Central"/>
        <s v="South"/>
      </sharedItems>
    </cacheField>
    <cacheField name="Quantity" numFmtId="0">
      <sharedItems containsSemiMixedTypes="0" containsString="0" containsNumber="1" containsInteger="1" minValue="1" maxValue="33"/>
    </cacheField>
    <cacheField name="Category" numFmtId="0">
      <sharedItems count="5">
        <s v="Storage"/>
        <s v="Furniture"/>
        <s v="Accessories"/>
        <s v="Electronics"/>
        <s v="Networking"/>
      </sharedItems>
    </cacheField>
    <cacheField name="Product Cost" numFmtId="0">
      <sharedItems containsSemiMixedTypes="0" containsString="0" containsNumber="1" containsInteger="1" minValue="400" maxValue="4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21"/>
    <n v="5"/>
    <n v="46026"/>
    <s v="Shipped"/>
    <n v="121300"/>
    <n v="91400"/>
    <n v="29900"/>
    <n v="0.25897435897435894"/>
    <s v="High Profit"/>
    <x v="0"/>
    <n v="16"/>
    <x v="0"/>
    <n v="4700"/>
  </r>
  <r>
    <n v="1023"/>
    <n v="22"/>
    <n v="46039"/>
    <s v="Delivered"/>
    <n v="222600"/>
    <n v="181400"/>
    <n v="41200"/>
    <n v="0.29512670565302146"/>
    <s v="High Profit"/>
    <x v="1"/>
    <n v="26"/>
    <x v="1"/>
    <n v="3000"/>
  </r>
  <r>
    <n v="1085"/>
    <n v="31"/>
    <n v="46042"/>
    <s v="Delivered"/>
    <n v="65120"/>
    <n v="44350"/>
    <n v="20770"/>
    <n v="0.3193222548061258"/>
    <s v="High Profit"/>
    <x v="2"/>
    <n v="18"/>
    <x v="2"/>
    <n v="400"/>
  </r>
  <r>
    <n v="1051"/>
    <n v="6"/>
    <n v="46043"/>
    <s v="Delivered"/>
    <n v="118420"/>
    <n v="83400"/>
    <n v="35020"/>
    <n v="0.32205413265784782"/>
    <s v="High Profit"/>
    <x v="3"/>
    <n v="25"/>
    <x v="2"/>
    <n v="400"/>
  </r>
  <r>
    <n v="1077"/>
    <n v="23"/>
    <n v="46043"/>
    <s v="Delivered"/>
    <n v="190000"/>
    <n v="152600"/>
    <n v="37400"/>
    <n v="0.21952160493827164"/>
    <s v="High Profit"/>
    <x v="4"/>
    <n v="22"/>
    <x v="3"/>
    <n v="46000"/>
  </r>
  <r>
    <n v="1076"/>
    <n v="20"/>
    <n v="46044"/>
    <s v="Delivered"/>
    <n v="15200"/>
    <n v="10500"/>
    <n v="4700"/>
    <n v="0.30921052631578949"/>
    <s v="Standard Profit"/>
    <x v="4"/>
    <n v="5"/>
    <x v="2"/>
    <n v="400"/>
  </r>
  <r>
    <n v="1030"/>
    <n v="7"/>
    <n v="46050"/>
    <s v="Delivered"/>
    <n v="16200"/>
    <n v="14500"/>
    <n v="1700"/>
    <n v="0.10493827160493829"/>
    <s v="Standard Profit"/>
    <x v="0"/>
    <n v="1"/>
    <x v="3"/>
    <n v="46000"/>
  </r>
  <r>
    <n v="1045"/>
    <n v="4"/>
    <n v="46052"/>
    <s v="Delivered"/>
    <n v="6300"/>
    <n v="4000"/>
    <n v="2300"/>
    <n v="0.36507936507936511"/>
    <s v="Standard Profit"/>
    <x v="2"/>
    <n v="10"/>
    <x v="2"/>
    <n v="400"/>
  </r>
  <r>
    <n v="1022"/>
    <n v="15"/>
    <n v="46053"/>
    <s v="Delivered"/>
    <n v="97300"/>
    <n v="68200"/>
    <n v="29100"/>
    <n v="0.30684953310696095"/>
    <s v="High Profit"/>
    <x v="3"/>
    <n v="22"/>
    <x v="1"/>
    <n v="3000"/>
  </r>
  <r>
    <n v="1039"/>
    <n v="11"/>
    <n v="46053"/>
    <s v="Delivered"/>
    <n v="72740"/>
    <n v="57900"/>
    <n v="14840"/>
    <n v="0.21290962621607779"/>
    <s v="High Profit"/>
    <x v="2"/>
    <n v="5"/>
    <x v="1"/>
    <n v="3000"/>
  </r>
  <r>
    <n v="1048"/>
    <n v="5"/>
    <n v="46058"/>
    <s v="Shipped"/>
    <n v="216000"/>
    <n v="174000"/>
    <n v="42000"/>
    <n v="0.19444444444444439"/>
    <s v="High Profit"/>
    <x v="0"/>
    <n v="12"/>
    <x v="3"/>
    <n v="46000"/>
  </r>
  <r>
    <n v="1089"/>
    <n v="18"/>
    <n v="46058"/>
    <s v="Delivered"/>
    <n v="209400"/>
    <n v="191200"/>
    <n v="18200"/>
    <n v="0.21956406166932482"/>
    <s v="High Profit"/>
    <x v="1"/>
    <n v="12"/>
    <x v="3"/>
    <n v="46000"/>
  </r>
  <r>
    <n v="1100"/>
    <n v="22"/>
    <n v="46058"/>
    <s v="Shipped"/>
    <n v="37800"/>
    <n v="24300"/>
    <n v="13500"/>
    <n v="0.37187500000000001"/>
    <s v="High Profit"/>
    <x v="1"/>
    <n v="15"/>
    <x v="2"/>
    <n v="400"/>
  </r>
  <r>
    <n v="1056"/>
    <n v="1"/>
    <n v="46060"/>
    <s v="Delivered"/>
    <n v="99980"/>
    <n v="70900"/>
    <n v="29080"/>
    <n v="0.31043634727845254"/>
    <s v="High Profit"/>
    <x v="2"/>
    <n v="27"/>
    <x v="0"/>
    <n v="4700"/>
  </r>
  <r>
    <n v="1034"/>
    <n v="29"/>
    <n v="46061"/>
    <s v="Pending"/>
    <n v="103500"/>
    <n v="75900"/>
    <n v="27600"/>
    <n v="0.29298245614035084"/>
    <s v="High Profit"/>
    <x v="3"/>
    <n v="13"/>
    <x v="1"/>
    <n v="3000"/>
  </r>
  <r>
    <n v="1028"/>
    <n v="28"/>
    <n v="46072"/>
    <s v="Delivered"/>
    <n v="78200"/>
    <n v="59400"/>
    <n v="18800"/>
    <n v="0.31944444444444436"/>
    <s v="High Profit"/>
    <x v="3"/>
    <n v="12"/>
    <x v="3"/>
    <n v="46000"/>
  </r>
  <r>
    <n v="1064"/>
    <n v="9"/>
    <n v="46076"/>
    <s v="Delivered"/>
    <n v="361500"/>
    <n v="297200"/>
    <n v="64300"/>
    <n v="0.19122550528367699"/>
    <s v="High Profit"/>
    <x v="4"/>
    <n v="28"/>
    <x v="3"/>
    <n v="46000"/>
  </r>
  <r>
    <n v="1065"/>
    <n v="10"/>
    <n v="46077"/>
    <s v="Delivered"/>
    <n v="43400"/>
    <n v="30100"/>
    <n v="13300"/>
    <n v="0.30645161290322581"/>
    <s v="High Profit"/>
    <x v="4"/>
    <n v="7"/>
    <x v="1"/>
    <n v="3000"/>
  </r>
  <r>
    <n v="1001"/>
    <n v="19"/>
    <n v="46080"/>
    <s v="Delivered"/>
    <n v="640200"/>
    <n v="583700"/>
    <n v="56500"/>
    <n v="0.26857670406057504"/>
    <s v="High Profit"/>
    <x v="0"/>
    <n v="23"/>
    <x v="2"/>
    <n v="400"/>
  </r>
  <r>
    <n v="1009"/>
    <n v="24"/>
    <n v="46080"/>
    <s v="Pending"/>
    <n v="537100"/>
    <n v="442600"/>
    <n v="94500"/>
    <n v="0.29955313503700598"/>
    <s v="High Profit"/>
    <x v="4"/>
    <n v="22"/>
    <x v="1"/>
    <n v="3000"/>
  </r>
  <r>
    <n v="1073"/>
    <n v="5"/>
    <n v="46080"/>
    <s v="Cancelled"/>
    <n v="190540"/>
    <n v="148600"/>
    <n v="41940"/>
    <n v="0.27947700447700446"/>
    <s v="High Profit"/>
    <x v="0"/>
    <n v="20"/>
    <x v="3"/>
    <n v="46000"/>
  </r>
  <r>
    <n v="1092"/>
    <n v="17"/>
    <n v="46082"/>
    <s v="Delivered"/>
    <n v="170680"/>
    <n v="125000"/>
    <n v="45680"/>
    <n v="0.27631951270366067"/>
    <s v="High Profit"/>
    <x v="2"/>
    <n v="30"/>
    <x v="2"/>
    <n v="400"/>
  </r>
  <r>
    <n v="1055"/>
    <n v="20"/>
    <n v="46090"/>
    <s v="Delivered"/>
    <n v="62000"/>
    <n v="43000"/>
    <n v="19000"/>
    <n v="0.30645161290322581"/>
    <s v="High Profit"/>
    <x v="4"/>
    <n v="10"/>
    <x v="1"/>
    <n v="3000"/>
  </r>
  <r>
    <n v="1006"/>
    <n v="24"/>
    <n v="46101"/>
    <s v="Shipped"/>
    <n v="460150"/>
    <n v="400100"/>
    <n v="60050"/>
    <n v="0.21001129718234987"/>
    <s v="High Profit"/>
    <x v="4"/>
    <n v="16"/>
    <x v="3"/>
    <n v="46000"/>
  </r>
  <r>
    <n v="1080"/>
    <n v="16"/>
    <n v="46102"/>
    <s v="Pending"/>
    <n v="236000"/>
    <n v="184600"/>
    <n v="51400"/>
    <n v="0.23350840336134449"/>
    <s v="High Profit"/>
    <x v="2"/>
    <n v="14"/>
    <x v="1"/>
    <n v="3000"/>
  </r>
  <r>
    <n v="1081"/>
    <n v="27"/>
    <n v="46113"/>
    <s v="Delivered"/>
    <n v="87390"/>
    <n v="69900"/>
    <n v="17490"/>
    <n v="0.19949066213921901"/>
    <s v="High Profit"/>
    <x v="0"/>
    <n v="13"/>
    <x v="4"/>
    <n v="3400"/>
  </r>
  <r>
    <n v="1033"/>
    <n v="18"/>
    <n v="46116"/>
    <s v="Delivered"/>
    <n v="557975"/>
    <n v="515800"/>
    <n v="42175"/>
    <n v="0.21207951548508822"/>
    <s v="High Profit"/>
    <x v="1"/>
    <n v="16"/>
    <x v="2"/>
    <n v="400"/>
  </r>
  <r>
    <n v="1032"/>
    <n v="29"/>
    <n v="46120"/>
    <s v="Delivered"/>
    <n v="6500"/>
    <n v="4700"/>
    <n v="1800"/>
    <n v="0.27692307692307688"/>
    <s v="Standard Profit"/>
    <x v="3"/>
    <n v="1"/>
    <x v="0"/>
    <n v="4700"/>
  </r>
  <r>
    <n v="1088"/>
    <n v="26"/>
    <n v="46121"/>
    <s v="Delivered"/>
    <n v="84000"/>
    <n v="67500"/>
    <n v="16500"/>
    <n v="0.1964285714285714"/>
    <s v="High Profit"/>
    <x v="0"/>
    <n v="3"/>
    <x v="3"/>
    <n v="46000"/>
  </r>
  <r>
    <n v="1067"/>
    <n v="17"/>
    <n v="46127"/>
    <s v="Delivered"/>
    <n v="388540"/>
    <n v="309100"/>
    <n v="79440"/>
    <n v="0.25294296346927919"/>
    <s v="High Profit"/>
    <x v="2"/>
    <n v="24"/>
    <x v="3"/>
    <n v="46000"/>
  </r>
  <r>
    <n v="1025"/>
    <n v="9"/>
    <n v="46132"/>
    <s v="Shipped"/>
    <n v="219600"/>
    <n v="184500"/>
    <n v="35100"/>
    <n v="0.17592592592592593"/>
    <s v="High Profit"/>
    <x v="4"/>
    <n v="20"/>
    <x v="4"/>
    <n v="3400"/>
  </r>
  <r>
    <n v="1058"/>
    <n v="33"/>
    <n v="46132"/>
    <s v="Delivered"/>
    <n v="93670"/>
    <n v="71000"/>
    <n v="22670"/>
    <n v="0.2533079148104615"/>
    <s v="High Profit"/>
    <x v="1"/>
    <n v="16"/>
    <x v="1"/>
    <n v="3000"/>
  </r>
  <r>
    <n v="1019"/>
    <n v="5"/>
    <n v="46138"/>
    <s v="Delivered"/>
    <n v="160800"/>
    <n v="122600"/>
    <n v="38200"/>
    <n v="0.25971557682083996"/>
    <s v="High Profit"/>
    <x v="0"/>
    <n v="23"/>
    <x v="2"/>
    <n v="400"/>
  </r>
  <r>
    <n v="1087"/>
    <n v="15"/>
    <n v="46139"/>
    <s v="Delivered"/>
    <n v="16500"/>
    <n v="9900"/>
    <n v="6600"/>
    <n v="0.4"/>
    <s v="Standard Profit"/>
    <x v="3"/>
    <n v="11"/>
    <x v="2"/>
    <n v="400"/>
  </r>
  <r>
    <n v="1049"/>
    <n v="26"/>
    <n v="46143"/>
    <s v="Delivered"/>
    <n v="45500"/>
    <n v="32900"/>
    <n v="12600"/>
    <n v="0.27692307692307688"/>
    <s v="High Profit"/>
    <x v="0"/>
    <n v="7"/>
    <x v="0"/>
    <n v="4700"/>
  </r>
  <r>
    <n v="1024"/>
    <n v="18"/>
    <n v="46144"/>
    <s v="Shipped"/>
    <n v="37200"/>
    <n v="25800"/>
    <n v="11400"/>
    <n v="0.30645161290322581"/>
    <s v="High Profit"/>
    <x v="1"/>
    <n v="6"/>
    <x v="1"/>
    <n v="3000"/>
  </r>
  <r>
    <n v="1037"/>
    <n v="11"/>
    <n v="46144"/>
    <s v="Delivered"/>
    <n v="349200"/>
    <n v="268300"/>
    <n v="80900"/>
    <n v="0.25927304475691565"/>
    <s v="High Profit"/>
    <x v="2"/>
    <n v="33"/>
    <x v="3"/>
    <n v="46000"/>
  </r>
  <r>
    <n v="1078"/>
    <n v="7"/>
    <n v="46150"/>
    <s v="Delivered"/>
    <n v="39400"/>
    <n v="26300"/>
    <n v="13100"/>
    <n v="0.36751152073732718"/>
    <s v="High Profit"/>
    <x v="0"/>
    <n v="17"/>
    <x v="2"/>
    <n v="400"/>
  </r>
  <r>
    <n v="1083"/>
    <n v="18"/>
    <n v="46150"/>
    <s v="Delivered"/>
    <n v="13000"/>
    <n v="9400"/>
    <n v="3600"/>
    <n v="0.27692307692307688"/>
    <s v="Standard Profit"/>
    <x v="1"/>
    <n v="2"/>
    <x v="0"/>
    <n v="4700"/>
  </r>
  <r>
    <n v="1068"/>
    <n v="4"/>
    <n v="46151"/>
    <s v="Delivered"/>
    <n v="319000"/>
    <n v="251000"/>
    <n v="68000"/>
    <n v="0.22453007518796989"/>
    <s v="High Profit"/>
    <x v="2"/>
    <n v="18"/>
    <x v="3"/>
    <n v="46000"/>
  </r>
  <r>
    <n v="1053"/>
    <n v="14"/>
    <n v="46156"/>
    <s v="Shipped"/>
    <n v="318820"/>
    <n v="279200"/>
    <n v="39620"/>
    <n v="0.25905673274094326"/>
    <s v="High Profit"/>
    <x v="2"/>
    <n v="14"/>
    <x v="3"/>
    <n v="46000"/>
  </r>
  <r>
    <n v="1003"/>
    <n v="33"/>
    <n v="46157"/>
    <s v="Shipped"/>
    <n v="102000"/>
    <n v="72600"/>
    <n v="29400"/>
    <n v="0.29298245614035084"/>
    <s v="High Profit"/>
    <x v="1"/>
    <n v="16"/>
    <x v="4"/>
    <n v="3400"/>
  </r>
  <r>
    <n v="1071"/>
    <n v="11"/>
    <n v="46157"/>
    <s v="Shipped"/>
    <n v="346500"/>
    <n v="282800"/>
    <n v="63700"/>
    <n v="0.23868193210298475"/>
    <s v="High Profit"/>
    <x v="2"/>
    <n v="22"/>
    <x v="3"/>
    <n v="46000"/>
  </r>
  <r>
    <n v="1093"/>
    <n v="3"/>
    <n v="46158"/>
    <s v="Delivered"/>
    <n v="38400"/>
    <n v="27200"/>
    <n v="11200"/>
    <n v="0.29166666666666669"/>
    <s v="High Profit"/>
    <x v="3"/>
    <n v="8"/>
    <x v="4"/>
    <n v="3400"/>
  </r>
  <r>
    <n v="1043"/>
    <n v="14"/>
    <n v="46174"/>
    <s v="Cancelled"/>
    <n v="239000"/>
    <n v="198200"/>
    <n v="40800"/>
    <n v="0.208133971291866"/>
    <s v="High Profit"/>
    <x v="2"/>
    <n v="6"/>
    <x v="4"/>
    <n v="3400"/>
  </r>
  <r>
    <n v="1005"/>
    <n v="33"/>
    <n v="46175"/>
    <s v="Delivered"/>
    <n v="344800"/>
    <n v="267900"/>
    <n v="76900"/>
    <n v="0.29117063492063489"/>
    <s v="High Profit"/>
    <x v="1"/>
    <n v="27"/>
    <x v="3"/>
    <n v="46000"/>
  </r>
  <r>
    <n v="1010"/>
    <n v="16"/>
    <n v="46180"/>
    <s v="Delivered"/>
    <n v="46800"/>
    <n v="31200"/>
    <n v="15600"/>
    <n v="0.34583333333333333"/>
    <s v="High Profit"/>
    <x v="2"/>
    <n v="18"/>
    <x v="4"/>
    <n v="3400"/>
  </r>
  <r>
    <n v="1054"/>
    <n v="16"/>
    <n v="46183"/>
    <s v="Delivered"/>
    <n v="90300"/>
    <n v="68400"/>
    <n v="21900"/>
    <n v="0.24906282801019641"/>
    <s v="High Profit"/>
    <x v="2"/>
    <n v="16"/>
    <x v="1"/>
    <n v="3000"/>
  </r>
  <r>
    <n v="1095"/>
    <n v="28"/>
    <n v="46183"/>
    <s v="Delivered"/>
    <n v="120840"/>
    <n v="99100"/>
    <n v="21740"/>
    <n v="0.21052631578947373"/>
    <s v="High Profit"/>
    <x v="3"/>
    <n v="13"/>
    <x v="3"/>
    <n v="46000"/>
  </r>
  <r>
    <n v="1070"/>
    <n v="9"/>
    <n v="46193"/>
    <s v="Shipped"/>
    <n v="61120"/>
    <n v="40800"/>
    <n v="20320"/>
    <n v="0.33876357560568088"/>
    <s v="High Profit"/>
    <x v="4"/>
    <n v="22"/>
    <x v="2"/>
    <n v="400"/>
  </r>
  <r>
    <n v="1082"/>
    <n v="27"/>
    <n v="46193"/>
    <s v="Pending"/>
    <n v="92500"/>
    <n v="73700"/>
    <n v="18800"/>
    <n v="0.23350840336134449"/>
    <s v="High Profit"/>
    <x v="0"/>
    <n v="4"/>
    <x v="3"/>
    <n v="46000"/>
  </r>
  <r>
    <n v="1031"/>
    <n v="7"/>
    <n v="46196"/>
    <s v="Delivered"/>
    <n v="4050"/>
    <n v="3000"/>
    <n v="1050"/>
    <n v="0.25925925925925919"/>
    <s v="Standard Profit"/>
    <x v="0"/>
    <n v="1"/>
    <x v="1"/>
    <n v="3000"/>
  </r>
  <r>
    <n v="1059"/>
    <n v="5"/>
    <n v="46201"/>
    <s v="Pending"/>
    <n v="238140"/>
    <n v="184800"/>
    <n v="53340"/>
    <n v="0.24691358024691357"/>
    <s v="High Profit"/>
    <x v="0"/>
    <n v="23"/>
    <x v="1"/>
    <n v="3000"/>
  </r>
  <r>
    <n v="1060"/>
    <n v="19"/>
    <n v="46212"/>
    <s v="Delivered"/>
    <n v="10490"/>
    <n v="7100"/>
    <n v="3390"/>
    <n v="0.33770965876229031"/>
    <s v="Standard Profit"/>
    <x v="0"/>
    <n v="7"/>
    <x v="2"/>
    <n v="400"/>
  </r>
  <r>
    <n v="1075"/>
    <n v="10"/>
    <n v="46212"/>
    <s v="Delivered"/>
    <n v="97000"/>
    <n v="75900"/>
    <n v="21100"/>
    <n v="0.2426282051282051"/>
    <s v="High Profit"/>
    <x v="4"/>
    <n v="9"/>
    <x v="3"/>
    <n v="46000"/>
  </r>
  <r>
    <n v="1040"/>
    <n v="17"/>
    <n v="46222"/>
    <s v="Cancelled"/>
    <n v="321900"/>
    <n v="294300"/>
    <n v="27600"/>
    <n v="0.17313178077066968"/>
    <s v="High Profit"/>
    <x v="2"/>
    <n v="12"/>
    <x v="2"/>
    <n v="400"/>
  </r>
  <r>
    <n v="1017"/>
    <n v="24"/>
    <n v="46227"/>
    <s v="Delivered"/>
    <n v="135200"/>
    <n v="97650"/>
    <n v="37550"/>
    <n v="0.31514894273807686"/>
    <s v="High Profit"/>
    <x v="4"/>
    <n v="21"/>
    <x v="4"/>
    <n v="3400"/>
  </r>
  <r>
    <n v="1029"/>
    <n v="30"/>
    <n v="46233"/>
    <s v="Pending"/>
    <n v="53500"/>
    <n v="34500"/>
    <n v="19000"/>
    <n v="0.35984848484848486"/>
    <s v="High Profit"/>
    <x v="0"/>
    <n v="17"/>
    <x v="1"/>
    <n v="3000"/>
  </r>
  <r>
    <n v="1069"/>
    <n v="18"/>
    <n v="46239"/>
    <s v="Delivered"/>
    <n v="23760"/>
    <n v="16200"/>
    <n v="7560"/>
    <n v="0.31818181818181818"/>
    <s v="Standard Profit"/>
    <x v="1"/>
    <n v="12"/>
    <x v="2"/>
    <n v="400"/>
  </r>
  <r>
    <n v="1094"/>
    <n v="23"/>
    <n v="46245"/>
    <s v="Shipped"/>
    <n v="12800"/>
    <n v="8400"/>
    <n v="4400"/>
    <n v="0.34375"/>
    <s v="Standard Profit"/>
    <x v="4"/>
    <n v="4"/>
    <x v="2"/>
    <n v="400"/>
  </r>
  <r>
    <n v="1002"/>
    <n v="1"/>
    <n v="46255"/>
    <s v="Cancelled"/>
    <n v="98200"/>
    <n v="80000"/>
    <n v="18200"/>
    <n v="0.18560289612921191"/>
    <s v="High Profit"/>
    <x v="2"/>
    <n v="6"/>
    <x v="3"/>
    <n v="46000"/>
  </r>
  <r>
    <n v="1041"/>
    <n v="19"/>
    <n v="46255"/>
    <s v="Delivered"/>
    <n v="40490"/>
    <n v="28550"/>
    <n v="11940"/>
    <n v="0.3228668261562998"/>
    <s v="High Profit"/>
    <x v="0"/>
    <n v="9"/>
    <x v="4"/>
    <n v="3400"/>
  </r>
  <r>
    <n v="1086"/>
    <n v="23"/>
    <n v="46258"/>
    <s v="Delivered"/>
    <n v="66150"/>
    <n v="46800"/>
    <n v="19350"/>
    <n v="0.29495614035087719"/>
    <s v="High Profit"/>
    <x v="4"/>
    <n v="14"/>
    <x v="4"/>
    <n v="3400"/>
  </r>
  <r>
    <n v="1027"/>
    <n v="27"/>
    <n v="46265"/>
    <s v="Delivered"/>
    <n v="172425"/>
    <n v="129800"/>
    <n v="42625"/>
    <n v="0.24574898785425098"/>
    <s v="High Profit"/>
    <x v="0"/>
    <n v="22"/>
    <x v="4"/>
    <n v="3400"/>
  </r>
  <r>
    <n v="1014"/>
    <n v="11"/>
    <n v="46266"/>
    <s v="Delivered"/>
    <n v="52725"/>
    <n v="42500"/>
    <n v="10225"/>
    <n v="0.26754385964912281"/>
    <s v="High Profit"/>
    <x v="2"/>
    <n v="9"/>
    <x v="3"/>
    <n v="46000"/>
  </r>
  <r>
    <n v="1038"/>
    <n v="14"/>
    <n v="46269"/>
    <s v="Pending"/>
    <n v="165000"/>
    <n v="138000"/>
    <n v="27000"/>
    <n v="0.16363636363636361"/>
    <s v="High Profit"/>
    <x v="2"/>
    <n v="3"/>
    <x v="3"/>
    <n v="46000"/>
  </r>
  <r>
    <n v="1012"/>
    <n v="5"/>
    <n v="46271"/>
    <s v="Cancelled"/>
    <n v="106160"/>
    <n v="74000"/>
    <n v="32160"/>
    <n v="0.31088664421997758"/>
    <s v="High Profit"/>
    <x v="0"/>
    <n v="28"/>
    <x v="4"/>
    <n v="3400"/>
  </r>
  <r>
    <n v="1046"/>
    <n v="34"/>
    <n v="46280"/>
    <s v="Delivered"/>
    <n v="25000"/>
    <n v="16600"/>
    <n v="8400"/>
    <n v="0.33846153846153848"/>
    <s v="Standard Profit"/>
    <x v="3"/>
    <n v="10"/>
    <x v="2"/>
    <n v="400"/>
  </r>
  <r>
    <n v="1004"/>
    <n v="7"/>
    <n v="46282"/>
    <s v="Pending"/>
    <n v="74400"/>
    <n v="51600"/>
    <n v="22800"/>
    <n v="0.30645161290322581"/>
    <s v="High Profit"/>
    <x v="0"/>
    <n v="12"/>
    <x v="1"/>
    <n v="3000"/>
  </r>
  <r>
    <n v="1047"/>
    <n v="6"/>
    <n v="46283"/>
    <s v="Pending"/>
    <n v="645000"/>
    <n v="576500"/>
    <n v="68500"/>
    <n v="0.20412457912457913"/>
    <s v="High Profit"/>
    <x v="3"/>
    <n v="25"/>
    <x v="1"/>
    <n v="3000"/>
  </r>
  <r>
    <n v="1090"/>
    <n v="26"/>
    <n v="46283"/>
    <s v="Shipped"/>
    <n v="630000"/>
    <n v="518600"/>
    <n v="111400"/>
    <n v="0.18943824206982099"/>
    <s v="High Profit"/>
    <x v="0"/>
    <n v="24"/>
    <x v="3"/>
    <n v="46000"/>
  </r>
  <r>
    <n v="1096"/>
    <n v="8"/>
    <n v="46284"/>
    <s v="Delivered"/>
    <n v="35800"/>
    <n v="23600"/>
    <n v="12200"/>
    <n v="0.35959101382488479"/>
    <s v="High Profit"/>
    <x v="2"/>
    <n v="14"/>
    <x v="1"/>
    <n v="3000"/>
  </r>
  <r>
    <n v="1018"/>
    <n v="29"/>
    <n v="46287"/>
    <s v="Delivered"/>
    <n v="242850"/>
    <n v="194800"/>
    <n v="48050"/>
    <n v="0.19744008714596947"/>
    <s v="High Profit"/>
    <x v="3"/>
    <n v="21"/>
    <x v="3"/>
    <n v="46000"/>
  </r>
  <r>
    <n v="1013"/>
    <n v="9"/>
    <n v="46295"/>
    <s v="Delivered"/>
    <n v="77000"/>
    <n v="59900"/>
    <n v="17100"/>
    <n v="0.23946078431372542"/>
    <s v="High Profit"/>
    <x v="4"/>
    <n v="7"/>
    <x v="3"/>
    <n v="46000"/>
  </r>
  <r>
    <n v="1091"/>
    <n v="22"/>
    <n v="46297"/>
    <s v="Cancelled"/>
    <n v="417800"/>
    <n v="372700"/>
    <n v="45100"/>
    <n v="0.23046004921004917"/>
    <s v="High Profit"/>
    <x v="1"/>
    <n v="20"/>
    <x v="0"/>
    <n v="4700"/>
  </r>
  <r>
    <n v="1099"/>
    <n v="13"/>
    <n v="46298"/>
    <s v="Delivered"/>
    <n v="26625"/>
    <n v="17900"/>
    <n v="8725"/>
    <n v="0.29983001762780154"/>
    <s v="Standard Profit"/>
    <x v="1"/>
    <n v="9"/>
    <x v="2"/>
    <n v="400"/>
  </r>
  <r>
    <n v="1007"/>
    <n v="34"/>
    <n v="46299"/>
    <s v="Pending"/>
    <n v="223500"/>
    <n v="178500"/>
    <n v="45000"/>
    <n v="0.29722222222222222"/>
    <s v="High Profit"/>
    <x v="3"/>
    <n v="17"/>
    <x v="2"/>
    <n v="400"/>
  </r>
  <r>
    <n v="1016"/>
    <n v="13"/>
    <n v="46299"/>
    <s v="Shipped"/>
    <n v="605000"/>
    <n v="506000"/>
    <n v="99000"/>
    <n v="0.16363636363636361"/>
    <s v="High Profit"/>
    <x v="1"/>
    <n v="11"/>
    <x v="3"/>
    <n v="46000"/>
  </r>
  <r>
    <n v="1036"/>
    <n v="1"/>
    <n v="46299"/>
    <s v="Cancelled"/>
    <n v="14400"/>
    <n v="10200"/>
    <n v="4200"/>
    <n v="0.29166666666666669"/>
    <s v="Standard Profit"/>
    <x v="2"/>
    <n v="3"/>
    <x v="4"/>
    <n v="3400"/>
  </r>
  <r>
    <n v="1061"/>
    <n v="20"/>
    <n v="46301"/>
    <s v="Delivered"/>
    <n v="119280"/>
    <n v="102400"/>
    <n v="16880"/>
    <n v="0.26318876369810157"/>
    <s v="High Profit"/>
    <x v="4"/>
    <n v="6"/>
    <x v="3"/>
    <n v="46000"/>
  </r>
  <r>
    <n v="1035"/>
    <n v="7"/>
    <n v="46304"/>
    <s v="Delivered"/>
    <n v="74700"/>
    <n v="51600"/>
    <n v="23100"/>
    <n v="0.3125"/>
    <s v="High Profit"/>
    <x v="0"/>
    <n v="16"/>
    <x v="4"/>
    <n v="3400"/>
  </r>
  <r>
    <n v="1072"/>
    <n v="28"/>
    <n v="46305"/>
    <s v="Delivered"/>
    <n v="244055"/>
    <n v="205300"/>
    <n v="38755"/>
    <n v="0.27631578947368418"/>
    <s v="High Profit"/>
    <x v="3"/>
    <n v="16"/>
    <x v="3"/>
    <n v="46000"/>
  </r>
  <r>
    <n v="1063"/>
    <n v="20"/>
    <n v="46306"/>
    <s v="Cancelled"/>
    <n v="198600"/>
    <n v="156100"/>
    <n v="42500"/>
    <n v="0.29537037037037034"/>
    <s v="High Profit"/>
    <x v="4"/>
    <n v="18"/>
    <x v="2"/>
    <n v="400"/>
  </r>
  <r>
    <n v="1042"/>
    <n v="32"/>
    <n v="46307"/>
    <s v="Delivered"/>
    <n v="54000"/>
    <n v="36000"/>
    <n v="18000"/>
    <n v="0.33333333333333331"/>
    <s v="High Profit"/>
    <x v="1"/>
    <n v="12"/>
    <x v="1"/>
    <n v="3000"/>
  </r>
  <r>
    <n v="1079"/>
    <n v="27"/>
    <n v="46309"/>
    <s v="Cancelled"/>
    <n v="39600"/>
    <n v="25350"/>
    <n v="14250"/>
    <n v="0.386228354978355"/>
    <s v="High Profit"/>
    <x v="0"/>
    <n v="18"/>
    <x v="2"/>
    <n v="400"/>
  </r>
  <r>
    <n v="1057"/>
    <n v="7"/>
    <n v="46311"/>
    <s v="Delivered"/>
    <n v="143700"/>
    <n v="103400"/>
    <n v="40300"/>
    <n v="0.30916808149405767"/>
    <s v="High Profit"/>
    <x v="0"/>
    <n v="22"/>
    <x v="4"/>
    <n v="3400"/>
  </r>
  <r>
    <n v="1011"/>
    <n v="6"/>
    <n v="46313"/>
    <s v="Delivered"/>
    <n v="40950"/>
    <n v="32900"/>
    <n v="8050"/>
    <n v="0.1965811965811966"/>
    <s v="Standard Profit"/>
    <x v="3"/>
    <n v="7"/>
    <x v="0"/>
    <n v="4700"/>
  </r>
  <r>
    <n v="1050"/>
    <n v="16"/>
    <n v="46314"/>
    <s v="Delivered"/>
    <n v="62255"/>
    <n v="43600"/>
    <n v="18655"/>
    <n v="0.34508145363408516"/>
    <s v="High Profit"/>
    <x v="2"/>
    <n v="19"/>
    <x v="4"/>
    <n v="3400"/>
  </r>
  <r>
    <n v="1026"/>
    <n v="31"/>
    <n v="46315"/>
    <s v="Delivered"/>
    <n v="592200"/>
    <n v="501000"/>
    <n v="91200"/>
    <n v="0.13428731762065094"/>
    <s v="High Profit"/>
    <x v="2"/>
    <n v="15"/>
    <x v="3"/>
    <n v="46000"/>
  </r>
  <r>
    <n v="1097"/>
    <n v="13"/>
    <n v="46318"/>
    <s v="Delivered"/>
    <n v="103500"/>
    <n v="86800"/>
    <n v="16700"/>
    <n v="0.24439571150097467"/>
    <s v="High Profit"/>
    <x v="1"/>
    <n v="20"/>
    <x v="3"/>
    <n v="46000"/>
  </r>
  <r>
    <n v="1044"/>
    <n v="4"/>
    <n v="46319"/>
    <s v="Shipped"/>
    <n v="43150"/>
    <n v="30900"/>
    <n v="12250"/>
    <n v="0.27016559829059827"/>
    <s v="High Profit"/>
    <x v="2"/>
    <n v="11"/>
    <x v="0"/>
    <n v="4700"/>
  </r>
  <r>
    <n v="1052"/>
    <n v="34"/>
    <n v="46321"/>
    <s v="Delivered"/>
    <n v="42660"/>
    <n v="29850"/>
    <n v="12810"/>
    <n v="0.30492424242424243"/>
    <s v="High Profit"/>
    <x v="3"/>
    <n v="13"/>
    <x v="2"/>
    <n v="400"/>
  </r>
  <r>
    <n v="1020"/>
    <n v="15"/>
    <n v="46324"/>
    <s v="Delivered"/>
    <n v="127920"/>
    <n v="93300"/>
    <n v="34620"/>
    <n v="0.27071078431372542"/>
    <s v="High Profit"/>
    <x v="3"/>
    <n v="21"/>
    <x v="1"/>
    <n v="3000"/>
  </r>
  <r>
    <n v="1008"/>
    <n v="21"/>
    <n v="46329"/>
    <s v="Delivered"/>
    <n v="252960"/>
    <n v="209200"/>
    <n v="43760"/>
    <n v="0.19543650793650791"/>
    <s v="High Profit"/>
    <x v="3"/>
    <n v="22"/>
    <x v="3"/>
    <n v="46000"/>
  </r>
  <r>
    <n v="1066"/>
    <n v="14"/>
    <n v="46332"/>
    <s v="Shipped"/>
    <n v="28980"/>
    <n v="22100"/>
    <n v="6880"/>
    <n v="0.25903880070546742"/>
    <s v="Standard Profit"/>
    <x v="2"/>
    <n v="10"/>
    <x v="4"/>
    <n v="3400"/>
  </r>
  <r>
    <n v="1015"/>
    <n v="28"/>
    <n v="46333"/>
    <s v="Cancelled"/>
    <n v="82525"/>
    <n v="62200"/>
    <n v="20325"/>
    <n v="0.25456060966896876"/>
    <s v="High Profit"/>
    <x v="3"/>
    <n v="11"/>
    <x v="1"/>
    <n v="3000"/>
  </r>
  <r>
    <n v="1062"/>
    <n v="34"/>
    <n v="46357"/>
    <s v="Delivered"/>
    <n v="14910"/>
    <n v="10350"/>
    <n v="4560"/>
    <n v="0.31245015948963317"/>
    <s v="Standard Profit"/>
    <x v="3"/>
    <n v="6"/>
    <x v="2"/>
    <n v="400"/>
  </r>
  <r>
    <n v="1074"/>
    <n v="10"/>
    <n v="46376"/>
    <s v="Delivered"/>
    <n v="123795"/>
    <n v="90150"/>
    <n v="33645"/>
    <n v="0.2997949984367641"/>
    <s v="High Profit"/>
    <x v="4"/>
    <n v="22"/>
    <x v="0"/>
    <n v="4700"/>
  </r>
  <r>
    <n v="1084"/>
    <n v="7"/>
    <n v="46382"/>
    <s v="Delivered"/>
    <n v="70150"/>
    <n v="49800"/>
    <n v="20350"/>
    <n v="0.30150462962962959"/>
    <s v="High Profit"/>
    <x v="0"/>
    <n v="19"/>
    <x v="2"/>
    <n v="400"/>
  </r>
  <r>
    <n v="1098"/>
    <n v="28"/>
    <n v="46385"/>
    <s v="Delivered"/>
    <n v="44875"/>
    <n v="31200"/>
    <n v="13675"/>
    <n v="0.32099780701754388"/>
    <s v="High Profit"/>
    <x v="3"/>
    <n v="11"/>
    <x v="1"/>
    <n v="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65C64-8219-412D-B5D2-0F58CDA52E10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2" firstDataCol="1"/>
  <pivotFields count="13">
    <pivotField showAll="0"/>
    <pivotField showAll="0"/>
    <pivotField showAll="0"/>
    <pivotField showAll="0"/>
    <pivotField dataField="1" numFmtId="44" showAll="0"/>
    <pivotField numFmtId="44" showAll="0"/>
    <pivotField numFmtId="164" showAll="0"/>
    <pivotField numFmtId="10"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axis="axisCol" showAll="0">
      <items count="6">
        <item x="1"/>
        <item x="2"/>
        <item x="3"/>
        <item x="4"/>
        <item x="0"/>
        <item t="default"/>
      </items>
    </pivotField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Revenue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B9B2D-F811-4F6A-BA42-9AEE2EB2262B}" name="PivotTable5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Region">
  <location ref="D11:E16" firstHeaderRow="1" firstDataRow="1" firstDataCol="1"/>
  <pivotFields count="13">
    <pivotField dataField="1" showAll="0"/>
    <pivotField showAll="0"/>
    <pivotField showAll="0"/>
    <pivotField showAll="0"/>
    <pivotField numFmtId="44" showAll="0"/>
    <pivotField numFmtId="44" showAll="0"/>
    <pivotField numFmtId="164" showAll="0"/>
    <pivotField numFmtId="10"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Orders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EDA0B-8850-4DA5-8A06-180E4F1FBC34}" name="PivotTable4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Region">
  <location ref="A11:B16" firstHeaderRow="1" firstDataRow="1" firstDataCol="1"/>
  <pivotFields count="13">
    <pivotField showAll="0"/>
    <pivotField showAll="0"/>
    <pivotField showAll="0"/>
    <pivotField showAll="0"/>
    <pivotField numFmtId="44" showAll="0"/>
    <pivotField numFmtId="44" showAll="0"/>
    <pivotField numFmtId="164" showAll="0"/>
    <pivotField numFmtId="10"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dataField="1"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Regional Quantity" fld="10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839DE-9D2B-4FD9-B43B-D86EBEF605CD}" name="PivotTable3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Region">
  <location ref="G2:H7" firstHeaderRow="1" firstDataRow="1" firstDataCol="1"/>
  <pivotFields count="13">
    <pivotField showAll="0"/>
    <pivotField showAll="0"/>
    <pivotField showAll="0"/>
    <pivotField showAll="0"/>
    <pivotField numFmtId="44" showAll="0"/>
    <pivotField numFmtId="44" showAll="0"/>
    <pivotField numFmtId="164" showAll="0"/>
    <pivotField numFmtId="10"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dataField="1"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Regional Quantity" fld="10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909D8-E63A-44E1-989C-0DFE9817FE85}" name="PivotTable2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Region">
  <location ref="D2:E7" firstHeaderRow="1" firstDataRow="1" firstDataCol="1"/>
  <pivotFields count="13">
    <pivotField showAll="0"/>
    <pivotField showAll="0"/>
    <pivotField showAll="0"/>
    <pivotField showAll="0"/>
    <pivotField numFmtId="44" showAll="0"/>
    <pivotField numFmtId="44" showAll="0"/>
    <pivotField dataField="1" numFmtId="164" showAll="0"/>
    <pivotField numFmtId="10"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Regional Profit" fld="6" baseField="9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375D0-8EEE-49BE-9235-E7BFEF356760}" name="PivotTable1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Region">
  <location ref="A2:B7" firstHeaderRow="1" firstDataRow="1" firstDataCol="1"/>
  <pivotFields count="13">
    <pivotField showAll="0"/>
    <pivotField showAll="0"/>
    <pivotField showAll="0"/>
    <pivotField showAll="0"/>
    <pivotField dataField="1" numFmtId="44" showAll="0"/>
    <pivotField numFmtId="44" showAll="0"/>
    <pivotField numFmtId="164" showAll="0"/>
    <pivotField numFmtId="10"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Regional Revenue" fld="4" baseField="9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97419990-52E6-4D6E-B8EC-20686C2F845E}" autoFormatId="16" applyNumberFormats="0" applyBorderFormats="0" applyFontFormats="0" applyPatternFormats="0" applyAlignmentFormats="0" applyWidthHeightFormats="0">
  <queryTableRefresh nextId="5">
    <queryTableFields count="4">
      <queryTableField id="1" name="CustomerID" tableColumnId="1"/>
      <queryTableField id="2" name="CustomerName" tableColumnId="2"/>
      <queryTableField id="3" name="City" tableColumnId="3"/>
      <queryTableField id="4" name="Regio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F273FB82-8769-4790-9C63-87C2BA32F5C8}" autoFormatId="16" applyNumberFormats="0" applyBorderFormats="0" applyFontFormats="0" applyPatternFormats="0" applyAlignmentFormats="0" applyWidthHeightFormats="0">
  <queryTableRefresh nextId="2">
    <queryTableFields count="1">
      <queryTableField id="1" name="Dataset Notes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5641CC29-8BF5-4346-AAFE-75984114AED2}" autoFormatId="16" applyNumberFormats="0" applyBorderFormats="0" applyFontFormats="0" applyPatternFormats="0" applyAlignmentFormats="0" applyWidthHeightFormats="0">
  <queryTableRefresh nextId="18">
    <queryTableFields count="17">
      <queryTableField id="1" name="OrderID" tableColumnId="1"/>
      <queryTableField id="2" name="OrderDate" tableColumnId="2"/>
      <queryTableField id="3" name="Region" tableColumnId="3"/>
      <queryTableField id="4" name="Product" tableColumnId="4"/>
      <queryTableField id="5" name="Category" tableColumnId="5"/>
      <queryTableField id="6" name="Quantity" tableColumnId="6"/>
      <queryTableField id="7" name="UnitPrice" tableColumnId="7"/>
      <queryTableField id="8" name="UnitCost" tableColumnId="8"/>
      <queryTableField id="9" name="CustomerID" tableColumnId="9"/>
      <queryTableField id="10" name="CustomerName" tableColumnId="10"/>
      <queryTableField id="11" name="OrderStatus" tableColumnId="11"/>
      <queryTableField id="12" name="ProductID" tableColumnId="12"/>
      <queryTableField id="13" name="OrderDetailID" tableColumnId="13"/>
      <queryTableField id="14" name="Revenue" tableColumnId="14"/>
      <queryTableField id="15" name="TotalCost" tableColumnId="15"/>
      <queryTableField id="16" name="Profit" tableColumnId="16"/>
      <queryTableField id="17" name="ProfitMargin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FBE725FD-2075-4CE4-8CB5-4697372D447E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ProductName" tableColumnId="2"/>
      <queryTableField id="3" name="Category" tableColumnId="3"/>
      <queryTableField id="4" name="UnitPrice" tableColumnId="4"/>
      <queryTableField id="5" name="UnitCos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474F0CA-582C-468B-9607-11EC4F9586ED}" autoFormatId="16" applyNumberFormats="0" applyBorderFormats="0" applyFontFormats="0" applyPatternFormats="0" applyAlignmentFormats="0" applyWidthHeightFormats="0">
  <queryTableRefresh nextId="14" unboundColumnsRight="9">
    <queryTableFields count="13">
      <queryTableField id="1" name="OrderID" tableColumnId="1"/>
      <queryTableField id="2" name="CustomerID" tableColumnId="2"/>
      <queryTableField id="3" name="OrderDate" tableColumnId="3"/>
      <queryTableField id="4" name="OrderStatus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5BCEE87-B60C-484E-BD7D-09BF165FE60C}" autoFormatId="16" applyNumberFormats="0" applyBorderFormats="0" applyFontFormats="0" applyPatternFormats="0" applyAlignmentFormats="0" applyWidthHeightFormats="0">
  <queryTableRefresh nextId="6">
    <queryTableFields count="5">
      <queryTableField id="1" name="OrderDetailID" tableColumnId="1"/>
      <queryTableField id="2" name="OrderID" tableColumnId="2"/>
      <queryTableField id="3" name="ProductID" tableColumnId="3"/>
      <queryTableField id="4" name="Quantity" tableColumnId="4"/>
      <queryTableField id="5" name="UnitPri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6D6D73-1A40-4B23-88A2-F3695CE8CD45}" name="Customers" displayName="Customers" ref="A1:D36" tableType="queryTable" totalsRowShown="0">
  <autoFilter ref="A1:D36" xr:uid="{E86D6D73-1A40-4B23-88A2-F3695CE8CD45}"/>
  <tableColumns count="4">
    <tableColumn id="1" xr3:uid="{5588985E-FEBD-4E3D-AF35-C00B947ECF06}" uniqueName="1" name="CustomerID" queryTableFieldId="1"/>
    <tableColumn id="2" xr3:uid="{C2C35ABC-C568-4F05-B9FE-ED27983083C4}" uniqueName="2" name="CustomerName" queryTableFieldId="2" dataDxfId="18"/>
    <tableColumn id="3" xr3:uid="{813C590F-45CF-4A4B-B1E1-8F7D2616E5B9}" uniqueName="3" name="City" queryTableFieldId="3" dataDxfId="17"/>
    <tableColumn id="4" xr3:uid="{47157D05-9E7D-4D4F-BBA2-D74E21B4D20E}" uniqueName="4" name="Region" queryTableFieldId="4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E35559-8966-42C8-8160-4C65A70F658B}" name="ReadMe" displayName="ReadMe" ref="A1:A9" tableType="queryTable" totalsRowShown="0">
  <autoFilter ref="A1:A9" xr:uid="{C3E35559-8966-42C8-8160-4C65A70F658B}"/>
  <tableColumns count="1">
    <tableColumn id="1" xr3:uid="{D561E8CA-94D7-43C8-96AE-64580FC67EC8}" uniqueName="1" name="Dataset Notes" queryTableFieldId="1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1B66EE-B0BF-4EAA-8DB9-185CA49414B3}" name="SalesData" displayName="SalesData" ref="A1:Q218" tableType="queryTable" totalsRowShown="0">
  <autoFilter ref="A1:Q218" xr:uid="{E51B66EE-B0BF-4EAA-8DB9-185CA49414B3}"/>
  <tableColumns count="17">
    <tableColumn id="1" xr3:uid="{B7EBFDFD-B42F-4584-ABB2-D8220B5A1A4E}" uniqueName="1" name="OrderID" queryTableFieldId="1"/>
    <tableColumn id="2" xr3:uid="{76FCB5BF-D1B3-47CC-AB1F-546B07FBA0E9}" uniqueName="2" name="OrderDate" queryTableFieldId="2"/>
    <tableColumn id="3" xr3:uid="{CD6090B9-78A8-4A39-9960-9B7693618FA1}" uniqueName="3" name="Region" queryTableFieldId="3" dataDxfId="15"/>
    <tableColumn id="4" xr3:uid="{28131C0E-D5FB-4850-AFEE-69AC658D0D78}" uniqueName="4" name="Product" queryTableFieldId="4" dataDxfId="14"/>
    <tableColumn id="5" xr3:uid="{1C0E8551-1E52-4D36-8FBA-DFA9F2A93005}" uniqueName="5" name="Category" queryTableFieldId="5" dataDxfId="13"/>
    <tableColumn id="6" xr3:uid="{40A205D8-C2D2-4C56-B999-66B90AEEF540}" uniqueName="6" name="Quantity" queryTableFieldId="6"/>
    <tableColumn id="7" xr3:uid="{0216EDC8-BE3D-492E-AF98-03B3956850E6}" uniqueName="7" name="UnitPrice" queryTableFieldId="7"/>
    <tableColumn id="8" xr3:uid="{0D21663F-B479-4CA4-9E81-ED3D36CBC5D2}" uniqueName="8" name="UnitCost" queryTableFieldId="8"/>
    <tableColumn id="9" xr3:uid="{A9F1AA32-6896-4EB3-9141-6C2DEE3A5E3B}" uniqueName="9" name="CustomerID" queryTableFieldId="9"/>
    <tableColumn id="10" xr3:uid="{908FA9DE-0F9E-4F04-8C17-B98ECE448C67}" uniqueName="10" name="CustomerName" queryTableFieldId="10" dataDxfId="12"/>
    <tableColumn id="11" xr3:uid="{380A2FC3-8A29-4782-94FE-E37658B4E700}" uniqueName="11" name="OrderStatus" queryTableFieldId="11" dataDxfId="11"/>
    <tableColumn id="12" xr3:uid="{B6618873-0049-4835-80B4-C3604CD10957}" uniqueName="12" name="ProductID" queryTableFieldId="12"/>
    <tableColumn id="13" xr3:uid="{3446388A-D859-4161-B567-0863B5202395}" uniqueName="13" name="OrderDetailID" queryTableFieldId="13"/>
    <tableColumn id="14" xr3:uid="{EDA895B2-8F77-4DD5-BB06-902B7AC448EF}" uniqueName="14" name="Revenue" queryTableFieldId="14"/>
    <tableColumn id="15" xr3:uid="{6282FAE4-3ACD-49C6-9E7E-6C73967477D6}" uniqueName="15" name="TotalCost" queryTableFieldId="15"/>
    <tableColumn id="16" xr3:uid="{72525241-BF59-451B-B9B9-E294513B4A31}" uniqueName="16" name="Profit" queryTableFieldId="16"/>
    <tableColumn id="17" xr3:uid="{CBC9558E-8C5D-40F1-836C-9CDC96D3CC8E}" uniqueName="17" name="ProfitMargin" queryTableField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E95582-F9A7-4A1E-BA82-A0F229EF7A7D}" name="ProductMaster" displayName="ProductMaster" ref="A1:E16" tableType="queryTable" totalsRowShown="0">
  <autoFilter ref="A1:E16" xr:uid="{B7E95582-F9A7-4A1E-BA82-A0F229EF7A7D}"/>
  <tableColumns count="5">
    <tableColumn id="1" xr3:uid="{7E1D2065-312E-43D6-9F48-B6056DCA8767}" uniqueName="1" name="ProductID" queryTableFieldId="1"/>
    <tableColumn id="2" xr3:uid="{4CF40ECD-244B-4F98-8DA4-A838B9FCD966}" uniqueName="2" name="ProductName" queryTableFieldId="2" dataDxfId="20"/>
    <tableColumn id="3" xr3:uid="{345EAC72-799B-4BD4-BF93-7C3DB4F79344}" uniqueName="3" name="Category" queryTableFieldId="3" dataDxfId="19"/>
    <tableColumn id="4" xr3:uid="{B4262F41-A2A4-4591-B953-5D029C438D0F}" uniqueName="4" name="UnitPrice" queryTableFieldId="4"/>
    <tableColumn id="5" xr3:uid="{C1E5C6C8-8F03-4F6E-B507-10F965018381}" uniqueName="5" name="UnitCost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2F6F65-10EB-4BEA-88C4-6134498AC3CD}" name="Orders" displayName="Orders" ref="A1:M101" tableType="queryTable" totalsRowShown="0">
  <autoFilter ref="A1:M101" xr:uid="{442F6F65-10EB-4BEA-88C4-6134498AC3CD}"/>
  <tableColumns count="13">
    <tableColumn id="1" xr3:uid="{6FC10CC4-0528-453A-B7B1-7B2FA623551A}" uniqueName="1" name="OrderID" queryTableFieldId="1"/>
    <tableColumn id="2" xr3:uid="{717C35C6-8E9A-4E49-8ABE-0CD4376D4C9F}" uniqueName="2" name="CustomerID" queryTableFieldId="2"/>
    <tableColumn id="3" xr3:uid="{4484D450-F4D8-4E22-A150-DB850724AD4F}" uniqueName="3" name="OrderDate" queryTableFieldId="3"/>
    <tableColumn id="4" xr3:uid="{74CED683-46B0-4BC4-8D05-6BB0B07BBC91}" uniqueName="4" name="OrderStatus" queryTableFieldId="4" dataDxfId="9"/>
    <tableColumn id="5" xr3:uid="{60CA8B0C-8242-4856-A3CD-AFC6561668A7}" uniqueName="5" name="Total Revenue" queryTableFieldId="5" dataDxfId="8">
      <calculatedColumnFormula>SUMIF(SalesData[OrderID],Orders[[#This Row],[OrderID]],SalesData[Revenue])</calculatedColumnFormula>
    </tableColumn>
    <tableColumn id="6" xr3:uid="{7C9BFE98-F6EC-4C6E-A2A8-EB82995E68F5}" uniqueName="6" name="Total Cost" queryTableFieldId="6" dataDxfId="7">
      <calculatedColumnFormula>SUMIF(SalesData[OrderID],Orders[[#This Row],[OrderID]],SalesData[TotalCost])</calculatedColumnFormula>
    </tableColumn>
    <tableColumn id="7" xr3:uid="{2EF5C534-5204-4A8B-95B3-B9D913A5BCFC}" uniqueName="7" name="Profit" queryTableFieldId="7" dataDxfId="6">
      <calculatedColumnFormula>SUMIF(SalesData[OrderID],Orders[[#This Row],[OrderID]],SalesData[Profit])</calculatedColumnFormula>
    </tableColumn>
    <tableColumn id="8" xr3:uid="{A72B6F45-7463-40F7-A598-D8C65699C3D4}" uniqueName="8" name="ProfitMargin" queryTableFieldId="8" dataDxfId="5">
      <calculatedColumnFormula>AVERAGEIF(SalesData[OrderID],Orders[[#This Row],[OrderID]],SalesData[ProfitMargin])</calculatedColumnFormula>
    </tableColumn>
    <tableColumn id="9" xr3:uid="{95452D6F-D893-41D1-9E47-3D39E15CC9FE}" uniqueName="9" name="ProfitClass" queryTableFieldId="9" dataDxfId="4">
      <calculatedColumnFormula>IF(Orders[[#This Row],[Profit]]&gt;10000,"High Profit","Standard Profit")</calculatedColumnFormula>
    </tableColumn>
    <tableColumn id="10" xr3:uid="{80FDA9A9-188C-4234-8A7A-095C12B9DF55}" uniqueName="10" name="Region" queryTableFieldId="10" dataDxfId="3">
      <calculatedColumnFormula>_xlfn.XLOOKUP(Orders[[#This Row],[OrderID]],SalesData[OrderID],SalesData[Region],"Not Found")</calculatedColumnFormula>
    </tableColumn>
    <tableColumn id="11" xr3:uid="{D69A410E-2664-4CCB-A55E-0AB8548D3D93}" uniqueName="11" name="Quantity" queryTableFieldId="11" dataDxfId="2">
      <calculatedColumnFormula>SUMIF(SalesData[OrderID],Orders[[#This Row],[OrderID]],SalesData[Quantity])</calculatedColumnFormula>
    </tableColumn>
    <tableColumn id="12" xr3:uid="{23E8E011-2A23-4B4F-9FAD-D553058AA1A2}" uniqueName="12" name="Category" queryTableFieldId="12" dataDxfId="1">
      <calculatedColumnFormula>_xlfn.XLOOKUP(Orders[[#This Row],[OrderID]],SalesData[OrderID],SalesData[Category],"Not Found")</calculatedColumnFormula>
    </tableColumn>
    <tableColumn id="13" xr3:uid="{BBC20E68-038F-4ECF-AA42-3592126897CF}" uniqueName="13" name="Product Cost" queryTableFieldId="13" dataDxfId="0">
      <calculatedColumnFormula>_xlfn.XLOOKUP(Orders[[#This Row],[Category]],ProductMaster[Category],ProductMaster[UnitCost],"Not Found")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2F81E-B5F3-4017-ABAC-B8DADE06C985}" name="OrderDetails" displayName="OrderDetails" ref="A1:E218" tableType="queryTable" totalsRowShown="0">
  <autoFilter ref="A1:E218" xr:uid="{E1F2F81E-B5F3-4017-ABAC-B8DADE06C985}"/>
  <tableColumns count="5">
    <tableColumn id="1" xr3:uid="{8B0EF47E-F4A6-4421-8ECF-FFC922369CBF}" uniqueName="1" name="OrderDetailID" queryTableFieldId="1"/>
    <tableColumn id="2" xr3:uid="{277A3B24-95D5-475B-AADD-EC953C3A44AA}" uniqueName="2" name="OrderID" queryTableFieldId="2"/>
    <tableColumn id="3" xr3:uid="{7D485AF9-3EDD-4500-9FDD-8851F1C0768A}" uniqueName="3" name="ProductID" queryTableFieldId="3"/>
    <tableColumn id="4" xr3:uid="{6FF77469-68FC-481D-9C41-43A872CDC51A}" uniqueName="4" name="Quantity" queryTableFieldId="4"/>
    <tableColumn id="5" xr3:uid="{1E16E449-D9CB-42AF-AADA-069B1C0F7D09}" uniqueName="5" name="UnitPric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8ADD-9542-4ECC-94B0-D3F3AC57BA04}">
  <dimension ref="A1:D36"/>
  <sheetViews>
    <sheetView workbookViewId="0"/>
  </sheetViews>
  <sheetFormatPr defaultRowHeight="14.5" x14ac:dyDescent="0.35"/>
  <cols>
    <col min="1" max="1" width="13.08984375" bestFit="1" customWidth="1"/>
    <col min="2" max="2" width="16.26953125" bestFit="1" customWidth="1"/>
    <col min="3" max="3" width="12.26953125" bestFit="1" customWidth="1"/>
  </cols>
  <sheetData>
    <row r="1" spans="1:4" x14ac:dyDescent="0.35">
      <c r="A1" t="s">
        <v>5</v>
      </c>
      <c r="B1" t="s">
        <v>35</v>
      </c>
      <c r="C1" t="s">
        <v>36</v>
      </c>
      <c r="D1" t="s">
        <v>37</v>
      </c>
    </row>
    <row r="2" spans="1:4" x14ac:dyDescent="0.35">
      <c r="A2">
        <v>1</v>
      </c>
      <c r="B2" s="1" t="s">
        <v>38</v>
      </c>
      <c r="C2" s="1" t="s">
        <v>39</v>
      </c>
      <c r="D2" s="1" t="s">
        <v>40</v>
      </c>
    </row>
    <row r="3" spans="1:4" x14ac:dyDescent="0.35">
      <c r="A3">
        <v>2</v>
      </c>
      <c r="B3" s="1" t="s">
        <v>41</v>
      </c>
      <c r="C3" s="1" t="s">
        <v>42</v>
      </c>
      <c r="D3" s="1" t="s">
        <v>43</v>
      </c>
    </row>
    <row r="4" spans="1:4" x14ac:dyDescent="0.35">
      <c r="A4">
        <v>3</v>
      </c>
      <c r="B4" s="1" t="s">
        <v>44</v>
      </c>
      <c r="C4" s="1" t="s">
        <v>45</v>
      </c>
      <c r="D4" s="1" t="s">
        <v>46</v>
      </c>
    </row>
    <row r="5" spans="1:4" x14ac:dyDescent="0.35">
      <c r="A5">
        <v>4</v>
      </c>
      <c r="B5" s="1" t="s">
        <v>47</v>
      </c>
      <c r="C5" s="1" t="s">
        <v>48</v>
      </c>
      <c r="D5" s="1" t="s">
        <v>40</v>
      </c>
    </row>
    <row r="6" spans="1:4" x14ac:dyDescent="0.35">
      <c r="A6">
        <v>5</v>
      </c>
      <c r="B6" s="1" t="s">
        <v>49</v>
      </c>
      <c r="C6" s="1" t="s">
        <v>42</v>
      </c>
      <c r="D6" s="1" t="s">
        <v>43</v>
      </c>
    </row>
    <row r="7" spans="1:4" x14ac:dyDescent="0.35">
      <c r="A7">
        <v>6</v>
      </c>
      <c r="B7" s="1" t="s">
        <v>50</v>
      </c>
      <c r="C7" s="1" t="s">
        <v>45</v>
      </c>
      <c r="D7" s="1" t="s">
        <v>46</v>
      </c>
    </row>
    <row r="8" spans="1:4" x14ac:dyDescent="0.35">
      <c r="A8">
        <v>7</v>
      </c>
      <c r="B8" s="1" t="s">
        <v>51</v>
      </c>
      <c r="C8" s="1" t="s">
        <v>52</v>
      </c>
      <c r="D8" s="1" t="s">
        <v>43</v>
      </c>
    </row>
    <row r="9" spans="1:4" x14ac:dyDescent="0.35">
      <c r="A9">
        <v>8</v>
      </c>
      <c r="B9" s="1" t="s">
        <v>53</v>
      </c>
      <c r="C9" s="1" t="s">
        <v>54</v>
      </c>
      <c r="D9" s="1" t="s">
        <v>40</v>
      </c>
    </row>
    <row r="10" spans="1:4" x14ac:dyDescent="0.35">
      <c r="A10">
        <v>9</v>
      </c>
      <c r="B10" s="1" t="s">
        <v>55</v>
      </c>
      <c r="C10" s="1" t="s">
        <v>56</v>
      </c>
      <c r="D10" s="1" t="s">
        <v>57</v>
      </c>
    </row>
    <row r="11" spans="1:4" x14ac:dyDescent="0.35">
      <c r="A11">
        <v>10</v>
      </c>
      <c r="B11" s="1" t="s">
        <v>58</v>
      </c>
      <c r="C11" s="1" t="s">
        <v>59</v>
      </c>
      <c r="D11" s="1" t="s">
        <v>57</v>
      </c>
    </row>
    <row r="12" spans="1:4" x14ac:dyDescent="0.35">
      <c r="A12">
        <v>11</v>
      </c>
      <c r="B12" s="1" t="s">
        <v>60</v>
      </c>
      <c r="C12" s="1" t="s">
        <v>39</v>
      </c>
      <c r="D12" s="1" t="s">
        <v>40</v>
      </c>
    </row>
    <row r="13" spans="1:4" x14ac:dyDescent="0.35">
      <c r="A13">
        <v>12</v>
      </c>
      <c r="B13" s="1" t="s">
        <v>61</v>
      </c>
      <c r="C13" s="1" t="s">
        <v>62</v>
      </c>
      <c r="D13" s="1" t="s">
        <v>46</v>
      </c>
    </row>
    <row r="14" spans="1:4" x14ac:dyDescent="0.35">
      <c r="A14">
        <v>13</v>
      </c>
      <c r="B14" s="1" t="s">
        <v>63</v>
      </c>
      <c r="C14" s="1" t="s">
        <v>64</v>
      </c>
      <c r="D14" s="1" t="s">
        <v>65</v>
      </c>
    </row>
    <row r="15" spans="1:4" x14ac:dyDescent="0.35">
      <c r="A15">
        <v>14</v>
      </c>
      <c r="B15" s="1" t="s">
        <v>66</v>
      </c>
      <c r="C15" s="1" t="s">
        <v>39</v>
      </c>
      <c r="D15" s="1" t="s">
        <v>40</v>
      </c>
    </row>
    <row r="16" spans="1:4" x14ac:dyDescent="0.35">
      <c r="A16">
        <v>15</v>
      </c>
      <c r="B16" s="1" t="s">
        <v>50</v>
      </c>
      <c r="C16" s="1" t="s">
        <v>62</v>
      </c>
      <c r="D16" s="1" t="s">
        <v>46</v>
      </c>
    </row>
    <row r="17" spans="1:4" x14ac:dyDescent="0.35">
      <c r="A17">
        <v>16</v>
      </c>
      <c r="B17" s="1" t="s">
        <v>67</v>
      </c>
      <c r="C17" s="1" t="s">
        <v>39</v>
      </c>
      <c r="D17" s="1" t="s">
        <v>40</v>
      </c>
    </row>
    <row r="18" spans="1:4" x14ac:dyDescent="0.35">
      <c r="A18">
        <v>17</v>
      </c>
      <c r="B18" s="1" t="s">
        <v>68</v>
      </c>
      <c r="C18" s="1" t="s">
        <v>69</v>
      </c>
      <c r="D18" s="1" t="s">
        <v>40</v>
      </c>
    </row>
    <row r="19" spans="1:4" x14ac:dyDescent="0.35">
      <c r="A19">
        <v>18</v>
      </c>
      <c r="B19" s="1" t="s">
        <v>70</v>
      </c>
      <c r="C19" s="1" t="s">
        <v>71</v>
      </c>
      <c r="D19" s="1" t="s">
        <v>65</v>
      </c>
    </row>
    <row r="20" spans="1:4" x14ac:dyDescent="0.35">
      <c r="A20">
        <v>19</v>
      </c>
      <c r="B20" s="1" t="s">
        <v>72</v>
      </c>
      <c r="C20" s="1" t="s">
        <v>73</v>
      </c>
      <c r="D20" s="1" t="s">
        <v>43</v>
      </c>
    </row>
    <row r="21" spans="1:4" x14ac:dyDescent="0.35">
      <c r="A21">
        <v>20</v>
      </c>
      <c r="B21" s="1" t="s">
        <v>44</v>
      </c>
      <c r="C21" s="1" t="s">
        <v>56</v>
      </c>
      <c r="D21" s="1" t="s">
        <v>57</v>
      </c>
    </row>
    <row r="22" spans="1:4" x14ac:dyDescent="0.35">
      <c r="A22">
        <v>21</v>
      </c>
      <c r="B22" s="1" t="s">
        <v>41</v>
      </c>
      <c r="C22" s="1" t="s">
        <v>45</v>
      </c>
      <c r="D22" s="1" t="s">
        <v>46</v>
      </c>
    </row>
    <row r="23" spans="1:4" x14ac:dyDescent="0.35">
      <c r="A23">
        <v>22</v>
      </c>
      <c r="B23" s="1" t="s">
        <v>74</v>
      </c>
      <c r="C23" s="1" t="s">
        <v>75</v>
      </c>
      <c r="D23" s="1" t="s">
        <v>65</v>
      </c>
    </row>
    <row r="24" spans="1:4" x14ac:dyDescent="0.35">
      <c r="A24">
        <v>23</v>
      </c>
      <c r="B24" s="1" t="s">
        <v>76</v>
      </c>
      <c r="C24" s="1" t="s">
        <v>77</v>
      </c>
      <c r="D24" s="1" t="s">
        <v>57</v>
      </c>
    </row>
    <row r="25" spans="1:4" x14ac:dyDescent="0.35">
      <c r="A25">
        <v>24</v>
      </c>
      <c r="B25" s="1" t="s">
        <v>78</v>
      </c>
      <c r="C25" s="1" t="s">
        <v>77</v>
      </c>
      <c r="D25" s="1" t="s">
        <v>57</v>
      </c>
    </row>
    <row r="26" spans="1:4" x14ac:dyDescent="0.35">
      <c r="A26">
        <v>25</v>
      </c>
      <c r="B26" s="1" t="s">
        <v>79</v>
      </c>
      <c r="C26" s="1" t="s">
        <v>52</v>
      </c>
      <c r="D26" s="1" t="s">
        <v>43</v>
      </c>
    </row>
    <row r="27" spans="1:4" x14ac:dyDescent="0.35">
      <c r="A27">
        <v>26</v>
      </c>
      <c r="B27" s="1" t="s">
        <v>80</v>
      </c>
      <c r="C27" s="1" t="s">
        <v>81</v>
      </c>
      <c r="D27" s="1" t="s">
        <v>43</v>
      </c>
    </row>
    <row r="28" spans="1:4" x14ac:dyDescent="0.35">
      <c r="A28">
        <v>27</v>
      </c>
      <c r="B28" s="1" t="s">
        <v>55</v>
      </c>
      <c r="C28" s="1" t="s">
        <v>73</v>
      </c>
      <c r="D28" s="1" t="s">
        <v>43</v>
      </c>
    </row>
    <row r="29" spans="1:4" x14ac:dyDescent="0.35">
      <c r="A29">
        <v>28</v>
      </c>
      <c r="B29" s="1" t="s">
        <v>66</v>
      </c>
      <c r="C29" s="1" t="s">
        <v>45</v>
      </c>
      <c r="D29" s="1" t="s">
        <v>46</v>
      </c>
    </row>
    <row r="30" spans="1:4" x14ac:dyDescent="0.35">
      <c r="A30">
        <v>29</v>
      </c>
      <c r="B30" s="1" t="s">
        <v>82</v>
      </c>
      <c r="C30" s="1" t="s">
        <v>83</v>
      </c>
      <c r="D30" s="1" t="s">
        <v>46</v>
      </c>
    </row>
    <row r="31" spans="1:4" x14ac:dyDescent="0.35">
      <c r="A31">
        <v>30</v>
      </c>
      <c r="B31" s="1" t="s">
        <v>84</v>
      </c>
      <c r="C31" s="1" t="s">
        <v>42</v>
      </c>
      <c r="D31" s="1" t="s">
        <v>43</v>
      </c>
    </row>
    <row r="32" spans="1:4" x14ac:dyDescent="0.35">
      <c r="A32">
        <v>31</v>
      </c>
      <c r="B32" s="1" t="s">
        <v>85</v>
      </c>
      <c r="C32" s="1" t="s">
        <v>48</v>
      </c>
      <c r="D32" s="1" t="s">
        <v>40</v>
      </c>
    </row>
    <row r="33" spans="1:4" x14ac:dyDescent="0.35">
      <c r="A33">
        <v>32</v>
      </c>
      <c r="B33" s="1" t="s">
        <v>86</v>
      </c>
      <c r="C33" s="1" t="s">
        <v>64</v>
      </c>
      <c r="D33" s="1" t="s">
        <v>65</v>
      </c>
    </row>
    <row r="34" spans="1:4" x14ac:dyDescent="0.35">
      <c r="A34">
        <v>33</v>
      </c>
      <c r="B34" s="1" t="s">
        <v>87</v>
      </c>
      <c r="C34" s="1" t="s">
        <v>71</v>
      </c>
      <c r="D34" s="1" t="s">
        <v>65</v>
      </c>
    </row>
    <row r="35" spans="1:4" x14ac:dyDescent="0.35">
      <c r="A35">
        <v>34</v>
      </c>
      <c r="B35" s="1" t="s">
        <v>88</v>
      </c>
      <c r="C35" s="1" t="s">
        <v>62</v>
      </c>
      <c r="D35" s="1" t="s">
        <v>46</v>
      </c>
    </row>
    <row r="36" spans="1:4" x14ac:dyDescent="0.35">
      <c r="A36">
        <v>35</v>
      </c>
      <c r="B36" s="1" t="s">
        <v>61</v>
      </c>
      <c r="C36" s="1" t="s">
        <v>89</v>
      </c>
      <c r="D36" s="1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EAC2-A459-4C50-B69A-0F4C6F0F8659}">
  <dimension ref="A1:A9"/>
  <sheetViews>
    <sheetView workbookViewId="0">
      <selection activeCell="E10" sqref="E10"/>
    </sheetView>
  </sheetViews>
  <sheetFormatPr defaultRowHeight="14.5" x14ac:dyDescent="0.35"/>
  <cols>
    <col min="1" max="1" width="24.1796875" bestFit="1" customWidth="1"/>
  </cols>
  <sheetData>
    <row r="1" spans="1:1" x14ac:dyDescent="0.35">
      <c r="A1" t="s">
        <v>95</v>
      </c>
    </row>
    <row r="2" spans="1:1" x14ac:dyDescent="0.35">
      <c r="A2" s="1" t="s">
        <v>96</v>
      </c>
    </row>
    <row r="3" spans="1:1" x14ac:dyDescent="0.35">
      <c r="A3" s="1" t="s">
        <v>97</v>
      </c>
    </row>
    <row r="4" spans="1:1" x14ac:dyDescent="0.35">
      <c r="A4" s="1" t="s">
        <v>98</v>
      </c>
    </row>
    <row r="5" spans="1:1" x14ac:dyDescent="0.35">
      <c r="A5" s="1" t="s">
        <v>99</v>
      </c>
    </row>
    <row r="6" spans="1:1" x14ac:dyDescent="0.35">
      <c r="A6" s="1" t="s">
        <v>100</v>
      </c>
    </row>
    <row r="7" spans="1:1" x14ac:dyDescent="0.35">
      <c r="A7" s="1" t="s">
        <v>101</v>
      </c>
    </row>
    <row r="8" spans="1:1" x14ac:dyDescent="0.35">
      <c r="A8" s="1" t="s">
        <v>102</v>
      </c>
    </row>
    <row r="9" spans="1:1" x14ac:dyDescent="0.35">
      <c r="A9" s="1" t="s">
        <v>103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F1A7-F7AE-4283-8974-87033D794027}">
  <dimension ref="A1:Q218"/>
  <sheetViews>
    <sheetView workbookViewId="0">
      <selection activeCell="A2" sqref="A2"/>
    </sheetView>
  </sheetViews>
  <sheetFormatPr defaultRowHeight="14.5" x14ac:dyDescent="0.35"/>
  <cols>
    <col min="1" max="1" width="9.81640625" bestFit="1" customWidth="1"/>
    <col min="2" max="2" width="12" bestFit="1" customWidth="1"/>
    <col min="4" max="4" width="11.1796875" bestFit="1" customWidth="1"/>
    <col min="5" max="5" width="10.54296875" bestFit="1" customWidth="1"/>
    <col min="6" max="6" width="10.453125" bestFit="1" customWidth="1"/>
    <col min="7" max="7" width="10.7265625" bestFit="1" customWidth="1"/>
    <col min="8" max="8" width="10.36328125" bestFit="1" customWidth="1"/>
    <col min="9" max="9" width="13.08984375" bestFit="1" customWidth="1"/>
    <col min="10" max="10" width="16.26953125" bestFit="1" customWidth="1"/>
    <col min="11" max="11" width="13.26953125" bestFit="1" customWidth="1"/>
    <col min="12" max="12" width="11.54296875" bestFit="1" customWidth="1"/>
    <col min="13" max="13" width="14.7265625" bestFit="1" customWidth="1"/>
    <col min="14" max="14" width="10.26953125" bestFit="1" customWidth="1"/>
    <col min="15" max="15" width="11.08984375" bestFit="1" customWidth="1"/>
    <col min="16" max="16" width="7.81640625" bestFit="1" customWidth="1"/>
    <col min="17" max="17" width="13.7265625" bestFit="1" customWidth="1"/>
  </cols>
  <sheetData>
    <row r="1" spans="1:17" x14ac:dyDescent="0.35">
      <c r="A1" t="s">
        <v>1</v>
      </c>
      <c r="B1" t="s">
        <v>6</v>
      </c>
      <c r="C1" t="s">
        <v>37</v>
      </c>
      <c r="D1" t="s">
        <v>90</v>
      </c>
      <c r="E1" t="s">
        <v>13</v>
      </c>
      <c r="F1" t="s">
        <v>3</v>
      </c>
      <c r="G1" t="s">
        <v>4</v>
      </c>
      <c r="H1" t="s">
        <v>14</v>
      </c>
      <c r="I1" t="s">
        <v>5</v>
      </c>
      <c r="J1" t="s">
        <v>35</v>
      </c>
      <c r="K1" t="s">
        <v>7</v>
      </c>
      <c r="L1" t="s">
        <v>2</v>
      </c>
      <c r="M1" t="s">
        <v>0</v>
      </c>
      <c r="N1" t="s">
        <v>91</v>
      </c>
      <c r="O1" t="s">
        <v>92</v>
      </c>
      <c r="P1" t="s">
        <v>93</v>
      </c>
      <c r="Q1" t="s">
        <v>94</v>
      </c>
    </row>
    <row r="2" spans="1:17" x14ac:dyDescent="0.35">
      <c r="A2">
        <v>1021</v>
      </c>
      <c r="B2">
        <v>46026</v>
      </c>
      <c r="C2" s="1" t="s">
        <v>43</v>
      </c>
      <c r="D2" s="1" t="s">
        <v>32</v>
      </c>
      <c r="E2" s="1" t="s">
        <v>33</v>
      </c>
      <c r="F2">
        <v>5</v>
      </c>
      <c r="G2">
        <v>6500</v>
      </c>
      <c r="H2">
        <v>4700</v>
      </c>
      <c r="I2">
        <v>5</v>
      </c>
      <c r="J2" s="1" t="s">
        <v>49</v>
      </c>
      <c r="K2" s="1" t="s">
        <v>8</v>
      </c>
      <c r="L2">
        <v>14</v>
      </c>
      <c r="M2">
        <v>1</v>
      </c>
      <c r="N2">
        <v>32500</v>
      </c>
      <c r="O2">
        <v>23500</v>
      </c>
      <c r="P2">
        <v>9000</v>
      </c>
      <c r="Q2">
        <v>0.27692307692307688</v>
      </c>
    </row>
    <row r="3" spans="1:17" x14ac:dyDescent="0.35">
      <c r="A3">
        <v>1021</v>
      </c>
      <c r="B3">
        <v>46026</v>
      </c>
      <c r="C3" s="1" t="s">
        <v>43</v>
      </c>
      <c r="D3" s="1" t="s">
        <v>17</v>
      </c>
      <c r="E3" s="1" t="s">
        <v>16</v>
      </c>
      <c r="F3">
        <v>5</v>
      </c>
      <c r="G3">
        <v>12000</v>
      </c>
      <c r="H3">
        <v>9500</v>
      </c>
      <c r="I3">
        <v>5</v>
      </c>
      <c r="J3" s="1" t="s">
        <v>49</v>
      </c>
      <c r="K3" s="1" t="s">
        <v>8</v>
      </c>
      <c r="L3">
        <v>2</v>
      </c>
      <c r="M3">
        <v>2</v>
      </c>
      <c r="N3">
        <v>60000</v>
      </c>
      <c r="O3">
        <v>47500</v>
      </c>
      <c r="P3">
        <v>12500</v>
      </c>
      <c r="Q3">
        <v>0.20833333333333329</v>
      </c>
    </row>
    <row r="4" spans="1:17" x14ac:dyDescent="0.35">
      <c r="A4">
        <v>1021</v>
      </c>
      <c r="B4">
        <v>46026</v>
      </c>
      <c r="C4" s="1" t="s">
        <v>43</v>
      </c>
      <c r="D4" s="1" t="s">
        <v>29</v>
      </c>
      <c r="E4" s="1" t="s">
        <v>30</v>
      </c>
      <c r="F4">
        <v>6</v>
      </c>
      <c r="G4">
        <v>4800</v>
      </c>
      <c r="H4">
        <v>3400</v>
      </c>
      <c r="I4">
        <v>5</v>
      </c>
      <c r="J4" s="1" t="s">
        <v>49</v>
      </c>
      <c r="K4" s="1" t="s">
        <v>8</v>
      </c>
      <c r="L4">
        <v>12</v>
      </c>
      <c r="M4">
        <v>3</v>
      </c>
      <c r="N4">
        <v>28800</v>
      </c>
      <c r="O4">
        <v>20400</v>
      </c>
      <c r="P4">
        <v>8400</v>
      </c>
      <c r="Q4">
        <v>0.29166666666666669</v>
      </c>
    </row>
    <row r="5" spans="1:17" x14ac:dyDescent="0.35">
      <c r="A5">
        <v>1023</v>
      </c>
      <c r="B5">
        <v>46039</v>
      </c>
      <c r="C5" s="1" t="s">
        <v>65</v>
      </c>
      <c r="D5" s="1" t="s">
        <v>20</v>
      </c>
      <c r="E5" s="1" t="s">
        <v>21</v>
      </c>
      <c r="F5">
        <v>4</v>
      </c>
      <c r="G5">
        <v>4500</v>
      </c>
      <c r="H5">
        <v>3000</v>
      </c>
      <c r="I5">
        <v>22</v>
      </c>
      <c r="J5" s="1" t="s">
        <v>74</v>
      </c>
      <c r="K5" s="1" t="s">
        <v>9</v>
      </c>
      <c r="L5">
        <v>5</v>
      </c>
      <c r="M5">
        <v>4</v>
      </c>
      <c r="N5">
        <v>18000</v>
      </c>
      <c r="O5">
        <v>12000</v>
      </c>
      <c r="P5">
        <v>6000</v>
      </c>
      <c r="Q5">
        <v>0.33333333333333331</v>
      </c>
    </row>
    <row r="6" spans="1:17" x14ac:dyDescent="0.35">
      <c r="A6">
        <v>1023</v>
      </c>
      <c r="B6">
        <v>46039</v>
      </c>
      <c r="C6" s="1" t="s">
        <v>65</v>
      </c>
      <c r="D6" s="1" t="s">
        <v>26</v>
      </c>
      <c r="E6" s="1" t="s">
        <v>25</v>
      </c>
      <c r="F6">
        <v>11</v>
      </c>
      <c r="G6">
        <v>1500</v>
      </c>
      <c r="H6">
        <v>900</v>
      </c>
      <c r="I6">
        <v>22</v>
      </c>
      <c r="J6" s="1" t="s">
        <v>74</v>
      </c>
      <c r="K6" s="1" t="s">
        <v>9</v>
      </c>
      <c r="L6">
        <v>9</v>
      </c>
      <c r="M6">
        <v>5</v>
      </c>
      <c r="N6">
        <v>16500</v>
      </c>
      <c r="O6">
        <v>9900</v>
      </c>
      <c r="P6">
        <v>6600</v>
      </c>
      <c r="Q6">
        <v>0.4</v>
      </c>
    </row>
    <row r="7" spans="1:17" x14ac:dyDescent="0.35">
      <c r="A7">
        <v>1023</v>
      </c>
      <c r="B7">
        <v>46039</v>
      </c>
      <c r="C7" s="1" t="s">
        <v>65</v>
      </c>
      <c r="D7" s="1" t="s">
        <v>18</v>
      </c>
      <c r="E7" s="1" t="s">
        <v>16</v>
      </c>
      <c r="F7">
        <v>11</v>
      </c>
      <c r="G7">
        <v>17100</v>
      </c>
      <c r="H7">
        <v>14500</v>
      </c>
      <c r="I7">
        <v>22</v>
      </c>
      <c r="J7" s="1" t="s">
        <v>74</v>
      </c>
      <c r="K7" s="1" t="s">
        <v>9</v>
      </c>
      <c r="L7">
        <v>3</v>
      </c>
      <c r="M7">
        <v>6</v>
      </c>
      <c r="N7">
        <v>188100</v>
      </c>
      <c r="O7">
        <v>159500</v>
      </c>
      <c r="P7">
        <v>28600</v>
      </c>
      <c r="Q7">
        <v>0.15204678362573101</v>
      </c>
    </row>
    <row r="8" spans="1:17" x14ac:dyDescent="0.35">
      <c r="A8">
        <v>1085</v>
      </c>
      <c r="B8">
        <v>46042</v>
      </c>
      <c r="C8" s="1" t="s">
        <v>40</v>
      </c>
      <c r="D8" s="1" t="s">
        <v>27</v>
      </c>
      <c r="E8" s="1" t="s">
        <v>25</v>
      </c>
      <c r="F8">
        <v>9</v>
      </c>
      <c r="G8">
        <v>1980</v>
      </c>
      <c r="H8">
        <v>1350</v>
      </c>
      <c r="I8">
        <v>31</v>
      </c>
      <c r="J8" s="1" t="s">
        <v>85</v>
      </c>
      <c r="K8" s="1" t="s">
        <v>9</v>
      </c>
      <c r="L8">
        <v>10</v>
      </c>
      <c r="M8">
        <v>7</v>
      </c>
      <c r="N8">
        <v>17820</v>
      </c>
      <c r="O8">
        <v>12150</v>
      </c>
      <c r="P8">
        <v>5670</v>
      </c>
      <c r="Q8">
        <v>0.31818181818181818</v>
      </c>
    </row>
    <row r="9" spans="1:17" x14ac:dyDescent="0.35">
      <c r="A9">
        <v>1085</v>
      </c>
      <c r="B9">
        <v>46042</v>
      </c>
      <c r="C9" s="1" t="s">
        <v>40</v>
      </c>
      <c r="D9" s="1" t="s">
        <v>20</v>
      </c>
      <c r="E9" s="1" t="s">
        <v>21</v>
      </c>
      <c r="F9">
        <v>5</v>
      </c>
      <c r="G9">
        <v>4500</v>
      </c>
      <c r="H9">
        <v>3000</v>
      </c>
      <c r="I9">
        <v>31</v>
      </c>
      <c r="J9" s="1" t="s">
        <v>85</v>
      </c>
      <c r="K9" s="1" t="s">
        <v>9</v>
      </c>
      <c r="L9">
        <v>5</v>
      </c>
      <c r="M9">
        <v>8</v>
      </c>
      <c r="N9">
        <v>22500</v>
      </c>
      <c r="O9">
        <v>15000</v>
      </c>
      <c r="P9">
        <v>7500</v>
      </c>
      <c r="Q9">
        <v>0.33333333333333331</v>
      </c>
    </row>
    <row r="10" spans="1:17" x14ac:dyDescent="0.35">
      <c r="A10">
        <v>1085</v>
      </c>
      <c r="B10">
        <v>46042</v>
      </c>
      <c r="C10" s="1" t="s">
        <v>40</v>
      </c>
      <c r="D10" s="1" t="s">
        <v>23</v>
      </c>
      <c r="E10" s="1" t="s">
        <v>21</v>
      </c>
      <c r="F10">
        <v>4</v>
      </c>
      <c r="G10">
        <v>6200</v>
      </c>
      <c r="H10">
        <v>4300</v>
      </c>
      <c r="I10">
        <v>31</v>
      </c>
      <c r="J10" s="1" t="s">
        <v>85</v>
      </c>
      <c r="K10" s="1" t="s">
        <v>9</v>
      </c>
      <c r="L10">
        <v>7</v>
      </c>
      <c r="M10">
        <v>9</v>
      </c>
      <c r="N10">
        <v>24800</v>
      </c>
      <c r="O10">
        <v>17200</v>
      </c>
      <c r="P10">
        <v>7600</v>
      </c>
      <c r="Q10">
        <v>0.30645161290322581</v>
      </c>
    </row>
    <row r="11" spans="1:17" x14ac:dyDescent="0.35">
      <c r="A11">
        <v>1051</v>
      </c>
      <c r="B11">
        <v>46043</v>
      </c>
      <c r="C11" s="1" t="s">
        <v>46</v>
      </c>
      <c r="D11" s="1" t="s">
        <v>27</v>
      </c>
      <c r="E11" s="1" t="s">
        <v>25</v>
      </c>
      <c r="F11">
        <v>8</v>
      </c>
      <c r="G11">
        <v>2200</v>
      </c>
      <c r="H11">
        <v>1350</v>
      </c>
      <c r="I11">
        <v>6</v>
      </c>
      <c r="J11" s="1" t="s">
        <v>50</v>
      </c>
      <c r="K11" s="1" t="s">
        <v>9</v>
      </c>
      <c r="L11">
        <v>10</v>
      </c>
      <c r="M11">
        <v>10</v>
      </c>
      <c r="N11">
        <v>17600</v>
      </c>
      <c r="O11">
        <v>10800</v>
      </c>
      <c r="P11">
        <v>6800</v>
      </c>
      <c r="Q11">
        <v>0.38636363636363641</v>
      </c>
    </row>
    <row r="12" spans="1:17" x14ac:dyDescent="0.35">
      <c r="A12">
        <v>1051</v>
      </c>
      <c r="B12">
        <v>46043</v>
      </c>
      <c r="C12" s="1" t="s">
        <v>46</v>
      </c>
      <c r="D12" s="1" t="s">
        <v>28</v>
      </c>
      <c r="E12" s="1" t="s">
        <v>25</v>
      </c>
      <c r="F12">
        <v>8</v>
      </c>
      <c r="G12">
        <v>3040</v>
      </c>
      <c r="H12">
        <v>2100</v>
      </c>
      <c r="I12">
        <v>6</v>
      </c>
      <c r="J12" s="1" t="s">
        <v>50</v>
      </c>
      <c r="K12" s="1" t="s">
        <v>9</v>
      </c>
      <c r="L12">
        <v>11</v>
      </c>
      <c r="M12">
        <v>11</v>
      </c>
      <c r="N12">
        <v>24320</v>
      </c>
      <c r="O12">
        <v>16800</v>
      </c>
      <c r="P12">
        <v>7520</v>
      </c>
      <c r="Q12">
        <v>0.30921052631578949</v>
      </c>
    </row>
    <row r="13" spans="1:17" x14ac:dyDescent="0.35">
      <c r="A13">
        <v>1051</v>
      </c>
      <c r="B13">
        <v>46043</v>
      </c>
      <c r="C13" s="1" t="s">
        <v>46</v>
      </c>
      <c r="D13" s="1" t="s">
        <v>22</v>
      </c>
      <c r="E13" s="1" t="s">
        <v>21</v>
      </c>
      <c r="F13">
        <v>9</v>
      </c>
      <c r="G13">
        <v>8500</v>
      </c>
      <c r="H13">
        <v>6200</v>
      </c>
      <c r="I13">
        <v>6</v>
      </c>
      <c r="J13" s="1" t="s">
        <v>50</v>
      </c>
      <c r="K13" s="1" t="s">
        <v>9</v>
      </c>
      <c r="L13">
        <v>6</v>
      </c>
      <c r="M13">
        <v>12</v>
      </c>
      <c r="N13">
        <v>76500</v>
      </c>
      <c r="O13">
        <v>55800</v>
      </c>
      <c r="P13">
        <v>20700</v>
      </c>
      <c r="Q13">
        <v>0.27058823529411757</v>
      </c>
    </row>
    <row r="14" spans="1:17" x14ac:dyDescent="0.35">
      <c r="A14">
        <v>1077</v>
      </c>
      <c r="B14">
        <v>46043</v>
      </c>
      <c r="C14" s="1" t="s">
        <v>57</v>
      </c>
      <c r="D14" s="1" t="s">
        <v>18</v>
      </c>
      <c r="E14" s="1" t="s">
        <v>16</v>
      </c>
      <c r="F14">
        <v>5</v>
      </c>
      <c r="G14">
        <v>18000</v>
      </c>
      <c r="H14">
        <v>14500</v>
      </c>
      <c r="I14">
        <v>23</v>
      </c>
      <c r="J14" s="1" t="s">
        <v>76</v>
      </c>
      <c r="K14" s="1" t="s">
        <v>9</v>
      </c>
      <c r="L14">
        <v>3</v>
      </c>
      <c r="M14">
        <v>13</v>
      </c>
      <c r="N14">
        <v>90000</v>
      </c>
      <c r="O14">
        <v>72500</v>
      </c>
      <c r="P14">
        <v>17500</v>
      </c>
      <c r="Q14">
        <v>0.19444444444444439</v>
      </c>
    </row>
    <row r="15" spans="1:17" x14ac:dyDescent="0.35">
      <c r="A15">
        <v>1077</v>
      </c>
      <c r="B15">
        <v>46043</v>
      </c>
      <c r="C15" s="1" t="s">
        <v>57</v>
      </c>
      <c r="D15" s="1" t="s">
        <v>28</v>
      </c>
      <c r="E15" s="1" t="s">
        <v>25</v>
      </c>
      <c r="F15">
        <v>11</v>
      </c>
      <c r="G15">
        <v>3200</v>
      </c>
      <c r="H15">
        <v>2100</v>
      </c>
      <c r="I15">
        <v>23</v>
      </c>
      <c r="J15" s="1" t="s">
        <v>76</v>
      </c>
      <c r="K15" s="1" t="s">
        <v>9</v>
      </c>
      <c r="L15">
        <v>11</v>
      </c>
      <c r="M15">
        <v>14</v>
      </c>
      <c r="N15">
        <v>35200</v>
      </c>
      <c r="O15">
        <v>23100</v>
      </c>
      <c r="P15">
        <v>12100</v>
      </c>
      <c r="Q15">
        <v>0.34375</v>
      </c>
    </row>
    <row r="16" spans="1:17" x14ac:dyDescent="0.35">
      <c r="A16">
        <v>1077</v>
      </c>
      <c r="B16">
        <v>46043</v>
      </c>
      <c r="C16" s="1" t="s">
        <v>57</v>
      </c>
      <c r="D16" s="1" t="s">
        <v>17</v>
      </c>
      <c r="E16" s="1" t="s">
        <v>16</v>
      </c>
      <c r="F16">
        <v>6</v>
      </c>
      <c r="G16">
        <v>10800</v>
      </c>
      <c r="H16">
        <v>9500</v>
      </c>
      <c r="I16">
        <v>23</v>
      </c>
      <c r="J16" s="1" t="s">
        <v>76</v>
      </c>
      <c r="K16" s="1" t="s">
        <v>9</v>
      </c>
      <c r="L16">
        <v>2</v>
      </c>
      <c r="M16">
        <v>15</v>
      </c>
      <c r="N16">
        <v>64800</v>
      </c>
      <c r="O16">
        <v>57000</v>
      </c>
      <c r="P16">
        <v>7800</v>
      </c>
      <c r="Q16">
        <v>0.12037037037037041</v>
      </c>
    </row>
    <row r="17" spans="1:17" x14ac:dyDescent="0.35">
      <c r="A17">
        <v>1076</v>
      </c>
      <c r="B17">
        <v>46044</v>
      </c>
      <c r="C17" s="1" t="s">
        <v>57</v>
      </c>
      <c r="D17" s="1" t="s">
        <v>28</v>
      </c>
      <c r="E17" s="1" t="s">
        <v>25</v>
      </c>
      <c r="F17">
        <v>5</v>
      </c>
      <c r="G17">
        <v>3040</v>
      </c>
      <c r="H17">
        <v>2100</v>
      </c>
      <c r="I17">
        <v>20</v>
      </c>
      <c r="J17" s="1" t="s">
        <v>44</v>
      </c>
      <c r="K17" s="1" t="s">
        <v>9</v>
      </c>
      <c r="L17">
        <v>11</v>
      </c>
      <c r="M17">
        <v>16</v>
      </c>
      <c r="N17">
        <v>15200</v>
      </c>
      <c r="O17">
        <v>10500</v>
      </c>
      <c r="P17">
        <v>4700</v>
      </c>
      <c r="Q17">
        <v>0.30921052631578949</v>
      </c>
    </row>
    <row r="18" spans="1:17" x14ac:dyDescent="0.35">
      <c r="A18">
        <v>1030</v>
      </c>
      <c r="B18">
        <v>46050</v>
      </c>
      <c r="C18" s="1" t="s">
        <v>43</v>
      </c>
      <c r="D18" s="1" t="s">
        <v>18</v>
      </c>
      <c r="E18" s="1" t="s">
        <v>16</v>
      </c>
      <c r="F18">
        <v>1</v>
      </c>
      <c r="G18">
        <v>16200</v>
      </c>
      <c r="H18">
        <v>14500</v>
      </c>
      <c r="I18">
        <v>7</v>
      </c>
      <c r="J18" s="1" t="s">
        <v>51</v>
      </c>
      <c r="K18" s="1" t="s">
        <v>9</v>
      </c>
      <c r="L18">
        <v>3</v>
      </c>
      <c r="M18">
        <v>17</v>
      </c>
      <c r="N18">
        <v>16200</v>
      </c>
      <c r="O18">
        <v>14500</v>
      </c>
      <c r="P18">
        <v>1700</v>
      </c>
      <c r="Q18">
        <v>0.10493827160493829</v>
      </c>
    </row>
    <row r="19" spans="1:17" x14ac:dyDescent="0.35">
      <c r="A19">
        <v>1045</v>
      </c>
      <c r="B19">
        <v>46052</v>
      </c>
      <c r="C19" s="1" t="s">
        <v>40</v>
      </c>
      <c r="D19" s="1" t="s">
        <v>24</v>
      </c>
      <c r="E19" s="1" t="s">
        <v>25</v>
      </c>
      <c r="F19">
        <v>10</v>
      </c>
      <c r="G19">
        <v>630</v>
      </c>
      <c r="H19">
        <v>400</v>
      </c>
      <c r="I19">
        <v>4</v>
      </c>
      <c r="J19" s="1" t="s">
        <v>47</v>
      </c>
      <c r="K19" s="1" t="s">
        <v>9</v>
      </c>
      <c r="L19">
        <v>8</v>
      </c>
      <c r="M19">
        <v>18</v>
      </c>
      <c r="N19">
        <v>6300</v>
      </c>
      <c r="O19">
        <v>4000</v>
      </c>
      <c r="P19">
        <v>2300</v>
      </c>
      <c r="Q19">
        <v>0.36507936507936511</v>
      </c>
    </row>
    <row r="20" spans="1:17" x14ac:dyDescent="0.35">
      <c r="A20">
        <v>1022</v>
      </c>
      <c r="B20">
        <v>46053</v>
      </c>
      <c r="C20" s="1" t="s">
        <v>46</v>
      </c>
      <c r="D20" s="1" t="s">
        <v>23</v>
      </c>
      <c r="E20" s="1" t="s">
        <v>21</v>
      </c>
      <c r="F20">
        <v>10</v>
      </c>
      <c r="G20">
        <v>5890</v>
      </c>
      <c r="H20">
        <v>4300</v>
      </c>
      <c r="I20">
        <v>15</v>
      </c>
      <c r="J20" s="1" t="s">
        <v>50</v>
      </c>
      <c r="K20" s="1" t="s">
        <v>9</v>
      </c>
      <c r="L20">
        <v>7</v>
      </c>
      <c r="M20">
        <v>19</v>
      </c>
      <c r="N20">
        <v>58900</v>
      </c>
      <c r="O20">
        <v>43000</v>
      </c>
      <c r="P20">
        <v>15900</v>
      </c>
      <c r="Q20">
        <v>0.2699490662139219</v>
      </c>
    </row>
    <row r="21" spans="1:17" x14ac:dyDescent="0.35">
      <c r="A21">
        <v>1022</v>
      </c>
      <c r="B21">
        <v>46053</v>
      </c>
      <c r="C21" s="1" t="s">
        <v>46</v>
      </c>
      <c r="D21" s="1" t="s">
        <v>28</v>
      </c>
      <c r="E21" s="1" t="s">
        <v>25</v>
      </c>
      <c r="F21">
        <v>12</v>
      </c>
      <c r="G21">
        <v>3200</v>
      </c>
      <c r="H21">
        <v>2100</v>
      </c>
      <c r="I21">
        <v>15</v>
      </c>
      <c r="J21" s="1" t="s">
        <v>50</v>
      </c>
      <c r="K21" s="1" t="s">
        <v>9</v>
      </c>
      <c r="L21">
        <v>11</v>
      </c>
      <c r="M21">
        <v>20</v>
      </c>
      <c r="N21">
        <v>38400</v>
      </c>
      <c r="O21">
        <v>25200</v>
      </c>
      <c r="P21">
        <v>13200</v>
      </c>
      <c r="Q21">
        <v>0.34375</v>
      </c>
    </row>
    <row r="22" spans="1:17" x14ac:dyDescent="0.35">
      <c r="A22">
        <v>1039</v>
      </c>
      <c r="B22">
        <v>46053</v>
      </c>
      <c r="C22" s="1" t="s">
        <v>40</v>
      </c>
      <c r="D22" s="1" t="s">
        <v>23</v>
      </c>
      <c r="E22" s="1" t="s">
        <v>21</v>
      </c>
      <c r="F22">
        <v>3</v>
      </c>
      <c r="G22">
        <v>5580</v>
      </c>
      <c r="H22">
        <v>4300</v>
      </c>
      <c r="I22">
        <v>11</v>
      </c>
      <c r="J22" s="1" t="s">
        <v>60</v>
      </c>
      <c r="K22" s="1" t="s">
        <v>9</v>
      </c>
      <c r="L22">
        <v>7</v>
      </c>
      <c r="M22">
        <v>21</v>
      </c>
      <c r="N22">
        <v>16740</v>
      </c>
      <c r="O22">
        <v>12900</v>
      </c>
      <c r="P22">
        <v>3840</v>
      </c>
      <c r="Q22">
        <v>0.2293906810035842</v>
      </c>
    </row>
    <row r="23" spans="1:17" x14ac:dyDescent="0.35">
      <c r="A23">
        <v>1039</v>
      </c>
      <c r="B23">
        <v>46053</v>
      </c>
      <c r="C23" s="1" t="s">
        <v>40</v>
      </c>
      <c r="D23" s="1" t="s">
        <v>19</v>
      </c>
      <c r="E23" s="1" t="s">
        <v>16</v>
      </c>
      <c r="F23">
        <v>2</v>
      </c>
      <c r="G23">
        <v>28000</v>
      </c>
      <c r="H23">
        <v>22500</v>
      </c>
      <c r="I23">
        <v>11</v>
      </c>
      <c r="J23" s="1" t="s">
        <v>60</v>
      </c>
      <c r="K23" s="1" t="s">
        <v>9</v>
      </c>
      <c r="L23">
        <v>4</v>
      </c>
      <c r="M23">
        <v>22</v>
      </c>
      <c r="N23">
        <v>56000</v>
      </c>
      <c r="O23">
        <v>45000</v>
      </c>
      <c r="P23">
        <v>11000</v>
      </c>
      <c r="Q23">
        <v>0.1964285714285714</v>
      </c>
    </row>
    <row r="24" spans="1:17" x14ac:dyDescent="0.35">
      <c r="A24">
        <v>1048</v>
      </c>
      <c r="B24">
        <v>46058</v>
      </c>
      <c r="C24" s="1" t="s">
        <v>43</v>
      </c>
      <c r="D24" s="1" t="s">
        <v>18</v>
      </c>
      <c r="E24" s="1" t="s">
        <v>16</v>
      </c>
      <c r="F24">
        <v>12</v>
      </c>
      <c r="G24">
        <v>18000</v>
      </c>
      <c r="H24">
        <v>14500</v>
      </c>
      <c r="I24">
        <v>5</v>
      </c>
      <c r="J24" s="1" t="s">
        <v>49</v>
      </c>
      <c r="K24" s="1" t="s">
        <v>8</v>
      </c>
      <c r="L24">
        <v>3</v>
      </c>
      <c r="M24">
        <v>23</v>
      </c>
      <c r="N24">
        <v>216000</v>
      </c>
      <c r="O24">
        <v>174000</v>
      </c>
      <c r="P24">
        <v>42000</v>
      </c>
      <c r="Q24">
        <v>0.19444444444444439</v>
      </c>
    </row>
    <row r="25" spans="1:17" x14ac:dyDescent="0.35">
      <c r="A25">
        <v>1089</v>
      </c>
      <c r="B25">
        <v>46058</v>
      </c>
      <c r="C25" s="1" t="s">
        <v>65</v>
      </c>
      <c r="D25" s="1" t="s">
        <v>15</v>
      </c>
      <c r="E25" s="1" t="s">
        <v>16</v>
      </c>
      <c r="F25">
        <v>4</v>
      </c>
      <c r="G25">
        <v>49500</v>
      </c>
      <c r="H25">
        <v>46000</v>
      </c>
      <c r="I25">
        <v>18</v>
      </c>
      <c r="J25" s="1" t="s">
        <v>70</v>
      </c>
      <c r="K25" s="1" t="s">
        <v>9</v>
      </c>
      <c r="L25">
        <v>1</v>
      </c>
      <c r="M25">
        <v>24</v>
      </c>
      <c r="N25">
        <v>198000</v>
      </c>
      <c r="O25">
        <v>184000</v>
      </c>
      <c r="P25">
        <v>14000</v>
      </c>
      <c r="Q25">
        <v>7.0707070707070704E-2</v>
      </c>
    </row>
    <row r="26" spans="1:17" x14ac:dyDescent="0.35">
      <c r="A26">
        <v>1089</v>
      </c>
      <c r="B26">
        <v>46058</v>
      </c>
      <c r="C26" s="1" t="s">
        <v>65</v>
      </c>
      <c r="D26" s="1" t="s">
        <v>26</v>
      </c>
      <c r="E26" s="1" t="s">
        <v>25</v>
      </c>
      <c r="F26">
        <v>8</v>
      </c>
      <c r="G26">
        <v>1425</v>
      </c>
      <c r="H26">
        <v>900</v>
      </c>
      <c r="I26">
        <v>18</v>
      </c>
      <c r="J26" s="1" t="s">
        <v>70</v>
      </c>
      <c r="K26" s="1" t="s">
        <v>9</v>
      </c>
      <c r="L26">
        <v>9</v>
      </c>
      <c r="M26">
        <v>25</v>
      </c>
      <c r="N26">
        <v>11400</v>
      </c>
      <c r="O26">
        <v>7200</v>
      </c>
      <c r="P26">
        <v>4200</v>
      </c>
      <c r="Q26">
        <v>0.36842105263157893</v>
      </c>
    </row>
    <row r="27" spans="1:17" x14ac:dyDescent="0.35">
      <c r="A27">
        <v>1100</v>
      </c>
      <c r="B27">
        <v>46058</v>
      </c>
      <c r="C27" s="1" t="s">
        <v>65</v>
      </c>
      <c r="D27" s="1" t="s">
        <v>28</v>
      </c>
      <c r="E27" s="1" t="s">
        <v>25</v>
      </c>
      <c r="F27">
        <v>9</v>
      </c>
      <c r="G27">
        <v>3200</v>
      </c>
      <c r="H27">
        <v>2100</v>
      </c>
      <c r="I27">
        <v>22</v>
      </c>
      <c r="J27" s="1" t="s">
        <v>74</v>
      </c>
      <c r="K27" s="1" t="s">
        <v>8</v>
      </c>
      <c r="L27">
        <v>11</v>
      </c>
      <c r="M27">
        <v>26</v>
      </c>
      <c r="N27">
        <v>28800</v>
      </c>
      <c r="O27">
        <v>18900</v>
      </c>
      <c r="P27">
        <v>9900</v>
      </c>
      <c r="Q27">
        <v>0.34375</v>
      </c>
    </row>
    <row r="28" spans="1:17" x14ac:dyDescent="0.35">
      <c r="A28">
        <v>1100</v>
      </c>
      <c r="B28">
        <v>46058</v>
      </c>
      <c r="C28" s="1" t="s">
        <v>65</v>
      </c>
      <c r="D28" s="1" t="s">
        <v>26</v>
      </c>
      <c r="E28" s="1" t="s">
        <v>25</v>
      </c>
      <c r="F28">
        <v>6</v>
      </c>
      <c r="G28">
        <v>1500</v>
      </c>
      <c r="H28">
        <v>900</v>
      </c>
      <c r="I28">
        <v>22</v>
      </c>
      <c r="J28" s="1" t="s">
        <v>74</v>
      </c>
      <c r="K28" s="1" t="s">
        <v>8</v>
      </c>
      <c r="L28">
        <v>9</v>
      </c>
      <c r="M28">
        <v>27</v>
      </c>
      <c r="N28">
        <v>9000</v>
      </c>
      <c r="O28">
        <v>5400</v>
      </c>
      <c r="P28">
        <v>3600</v>
      </c>
      <c r="Q28">
        <v>0.4</v>
      </c>
    </row>
    <row r="29" spans="1:17" x14ac:dyDescent="0.35">
      <c r="A29">
        <v>1056</v>
      </c>
      <c r="B29">
        <v>46060</v>
      </c>
      <c r="C29" s="1" t="s">
        <v>40</v>
      </c>
      <c r="D29" s="1" t="s">
        <v>32</v>
      </c>
      <c r="E29" s="1" t="s">
        <v>33</v>
      </c>
      <c r="F29">
        <v>7</v>
      </c>
      <c r="G29">
        <v>6500</v>
      </c>
      <c r="H29">
        <v>4700</v>
      </c>
      <c r="I29">
        <v>1</v>
      </c>
      <c r="J29" s="1" t="s">
        <v>38</v>
      </c>
      <c r="K29" s="1" t="s">
        <v>9</v>
      </c>
      <c r="L29">
        <v>14</v>
      </c>
      <c r="M29">
        <v>28</v>
      </c>
      <c r="N29">
        <v>45500</v>
      </c>
      <c r="O29">
        <v>32900</v>
      </c>
      <c r="P29">
        <v>12600</v>
      </c>
      <c r="Q29">
        <v>0.27692307692307688</v>
      </c>
    </row>
    <row r="30" spans="1:17" x14ac:dyDescent="0.35">
      <c r="A30">
        <v>1056</v>
      </c>
      <c r="B30">
        <v>46060</v>
      </c>
      <c r="C30" s="1" t="s">
        <v>40</v>
      </c>
      <c r="D30" s="1" t="s">
        <v>29</v>
      </c>
      <c r="E30" s="1" t="s">
        <v>30</v>
      </c>
      <c r="F30">
        <v>8</v>
      </c>
      <c r="G30">
        <v>4560</v>
      </c>
      <c r="H30">
        <v>3400</v>
      </c>
      <c r="I30">
        <v>1</v>
      </c>
      <c r="J30" s="1" t="s">
        <v>38</v>
      </c>
      <c r="K30" s="1" t="s">
        <v>9</v>
      </c>
      <c r="L30">
        <v>12</v>
      </c>
      <c r="M30">
        <v>29</v>
      </c>
      <c r="N30">
        <v>36480</v>
      </c>
      <c r="O30">
        <v>27200</v>
      </c>
      <c r="P30">
        <v>9280</v>
      </c>
      <c r="Q30">
        <v>0.25438596491228072</v>
      </c>
    </row>
    <row r="31" spans="1:17" x14ac:dyDescent="0.35">
      <c r="A31">
        <v>1056</v>
      </c>
      <c r="B31">
        <v>46060</v>
      </c>
      <c r="C31" s="1" t="s">
        <v>40</v>
      </c>
      <c r="D31" s="1" t="s">
        <v>26</v>
      </c>
      <c r="E31" s="1" t="s">
        <v>25</v>
      </c>
      <c r="F31">
        <v>12</v>
      </c>
      <c r="G31">
        <v>1500</v>
      </c>
      <c r="H31">
        <v>900</v>
      </c>
      <c r="I31">
        <v>1</v>
      </c>
      <c r="J31" s="1" t="s">
        <v>38</v>
      </c>
      <c r="K31" s="1" t="s">
        <v>9</v>
      </c>
      <c r="L31">
        <v>9</v>
      </c>
      <c r="M31">
        <v>30</v>
      </c>
      <c r="N31">
        <v>18000</v>
      </c>
      <c r="O31">
        <v>10800</v>
      </c>
      <c r="P31">
        <v>7200</v>
      </c>
      <c r="Q31">
        <v>0.4</v>
      </c>
    </row>
    <row r="32" spans="1:17" x14ac:dyDescent="0.35">
      <c r="A32">
        <v>1034</v>
      </c>
      <c r="B32">
        <v>46061</v>
      </c>
      <c r="C32" s="1" t="s">
        <v>46</v>
      </c>
      <c r="D32" s="1" t="s">
        <v>20</v>
      </c>
      <c r="E32" s="1" t="s">
        <v>21</v>
      </c>
      <c r="F32">
        <v>4</v>
      </c>
      <c r="G32">
        <v>4500</v>
      </c>
      <c r="H32">
        <v>3000</v>
      </c>
      <c r="I32">
        <v>29</v>
      </c>
      <c r="J32" s="1" t="s">
        <v>82</v>
      </c>
      <c r="K32" s="1" t="s">
        <v>10</v>
      </c>
      <c r="L32">
        <v>5</v>
      </c>
      <c r="M32">
        <v>31</v>
      </c>
      <c r="N32">
        <v>18000</v>
      </c>
      <c r="O32">
        <v>12000</v>
      </c>
      <c r="P32">
        <v>6000</v>
      </c>
      <c r="Q32">
        <v>0.33333333333333331</v>
      </c>
    </row>
    <row r="33" spans="1:17" x14ac:dyDescent="0.35">
      <c r="A33">
        <v>1034</v>
      </c>
      <c r="B33">
        <v>46061</v>
      </c>
      <c r="C33" s="1" t="s">
        <v>46</v>
      </c>
      <c r="D33" s="1" t="s">
        <v>31</v>
      </c>
      <c r="E33" s="1" t="s">
        <v>30</v>
      </c>
      <c r="F33">
        <v>9</v>
      </c>
      <c r="G33">
        <v>9500</v>
      </c>
      <c r="H33">
        <v>7100</v>
      </c>
      <c r="I33">
        <v>29</v>
      </c>
      <c r="J33" s="1" t="s">
        <v>82</v>
      </c>
      <c r="K33" s="1" t="s">
        <v>10</v>
      </c>
      <c r="L33">
        <v>13</v>
      </c>
      <c r="M33">
        <v>32</v>
      </c>
      <c r="N33">
        <v>85500</v>
      </c>
      <c r="O33">
        <v>63900</v>
      </c>
      <c r="P33">
        <v>21600</v>
      </c>
      <c r="Q33">
        <v>0.25263157894736837</v>
      </c>
    </row>
    <row r="34" spans="1:17" x14ac:dyDescent="0.35">
      <c r="A34">
        <v>1028</v>
      </c>
      <c r="B34">
        <v>46072</v>
      </c>
      <c r="C34" s="1" t="s">
        <v>46</v>
      </c>
      <c r="D34" s="1" t="s">
        <v>19</v>
      </c>
      <c r="E34" s="1" t="s">
        <v>16</v>
      </c>
      <c r="F34">
        <v>2</v>
      </c>
      <c r="G34">
        <v>28000</v>
      </c>
      <c r="H34">
        <v>22500</v>
      </c>
      <c r="I34">
        <v>28</v>
      </c>
      <c r="J34" s="1" t="s">
        <v>66</v>
      </c>
      <c r="K34" s="1" t="s">
        <v>9</v>
      </c>
      <c r="L34">
        <v>4</v>
      </c>
      <c r="M34">
        <v>33</v>
      </c>
      <c r="N34">
        <v>56000</v>
      </c>
      <c r="O34">
        <v>45000</v>
      </c>
      <c r="P34">
        <v>11000</v>
      </c>
      <c r="Q34">
        <v>0.1964285714285714</v>
      </c>
    </row>
    <row r="35" spans="1:17" x14ac:dyDescent="0.35">
      <c r="A35">
        <v>1028</v>
      </c>
      <c r="B35">
        <v>46072</v>
      </c>
      <c r="C35" s="1" t="s">
        <v>46</v>
      </c>
      <c r="D35" s="1" t="s">
        <v>20</v>
      </c>
      <c r="E35" s="1" t="s">
        <v>21</v>
      </c>
      <c r="F35">
        <v>4</v>
      </c>
      <c r="G35">
        <v>4500</v>
      </c>
      <c r="H35">
        <v>3000</v>
      </c>
      <c r="I35">
        <v>28</v>
      </c>
      <c r="J35" s="1" t="s">
        <v>66</v>
      </c>
      <c r="K35" s="1" t="s">
        <v>9</v>
      </c>
      <c r="L35">
        <v>5</v>
      </c>
      <c r="M35">
        <v>34</v>
      </c>
      <c r="N35">
        <v>18000</v>
      </c>
      <c r="O35">
        <v>12000</v>
      </c>
      <c r="P35">
        <v>6000</v>
      </c>
      <c r="Q35">
        <v>0.33333333333333331</v>
      </c>
    </row>
    <row r="36" spans="1:17" x14ac:dyDescent="0.35">
      <c r="A36">
        <v>1028</v>
      </c>
      <c r="B36">
        <v>46072</v>
      </c>
      <c r="C36" s="1" t="s">
        <v>46</v>
      </c>
      <c r="D36" s="1" t="s">
        <v>24</v>
      </c>
      <c r="E36" s="1" t="s">
        <v>25</v>
      </c>
      <c r="F36">
        <v>6</v>
      </c>
      <c r="G36">
        <v>700</v>
      </c>
      <c r="H36">
        <v>400</v>
      </c>
      <c r="I36">
        <v>28</v>
      </c>
      <c r="J36" s="1" t="s">
        <v>66</v>
      </c>
      <c r="K36" s="1" t="s">
        <v>9</v>
      </c>
      <c r="L36">
        <v>8</v>
      </c>
      <c r="M36">
        <v>35</v>
      </c>
      <c r="N36">
        <v>4200</v>
      </c>
      <c r="O36">
        <v>2400</v>
      </c>
      <c r="P36">
        <v>1800</v>
      </c>
      <c r="Q36">
        <v>0.42857142857142849</v>
      </c>
    </row>
    <row r="37" spans="1:17" x14ac:dyDescent="0.35">
      <c r="A37">
        <v>1064</v>
      </c>
      <c r="B37">
        <v>46076</v>
      </c>
      <c r="C37" s="1" t="s">
        <v>57</v>
      </c>
      <c r="D37" s="1" t="s">
        <v>17</v>
      </c>
      <c r="E37" s="1" t="s">
        <v>16</v>
      </c>
      <c r="F37">
        <v>4</v>
      </c>
      <c r="G37">
        <v>12000</v>
      </c>
      <c r="H37">
        <v>9500</v>
      </c>
      <c r="I37">
        <v>9</v>
      </c>
      <c r="J37" s="1" t="s">
        <v>55</v>
      </c>
      <c r="K37" s="1" t="s">
        <v>9</v>
      </c>
      <c r="L37">
        <v>2</v>
      </c>
      <c r="M37">
        <v>36</v>
      </c>
      <c r="N37">
        <v>48000</v>
      </c>
      <c r="O37">
        <v>38000</v>
      </c>
      <c r="P37">
        <v>10000</v>
      </c>
      <c r="Q37">
        <v>0.20833333333333329</v>
      </c>
    </row>
    <row r="38" spans="1:17" x14ac:dyDescent="0.35">
      <c r="A38">
        <v>1064</v>
      </c>
      <c r="B38">
        <v>46076</v>
      </c>
      <c r="C38" s="1" t="s">
        <v>57</v>
      </c>
      <c r="D38" s="1" t="s">
        <v>18</v>
      </c>
      <c r="E38" s="1" t="s">
        <v>16</v>
      </c>
      <c r="F38">
        <v>12</v>
      </c>
      <c r="G38">
        <v>17100</v>
      </c>
      <c r="H38">
        <v>14500</v>
      </c>
      <c r="I38">
        <v>9</v>
      </c>
      <c r="J38" s="1" t="s">
        <v>55</v>
      </c>
      <c r="K38" s="1" t="s">
        <v>9</v>
      </c>
      <c r="L38">
        <v>3</v>
      </c>
      <c r="M38">
        <v>37</v>
      </c>
      <c r="N38">
        <v>205200</v>
      </c>
      <c r="O38">
        <v>174000</v>
      </c>
      <c r="P38">
        <v>31200</v>
      </c>
      <c r="Q38">
        <v>0.15204678362573101</v>
      </c>
    </row>
    <row r="39" spans="1:17" x14ac:dyDescent="0.35">
      <c r="A39">
        <v>1064</v>
      </c>
      <c r="B39">
        <v>46076</v>
      </c>
      <c r="C39" s="1" t="s">
        <v>57</v>
      </c>
      <c r="D39" s="1" t="s">
        <v>31</v>
      </c>
      <c r="E39" s="1" t="s">
        <v>30</v>
      </c>
      <c r="F39">
        <v>12</v>
      </c>
      <c r="G39">
        <v>9025</v>
      </c>
      <c r="H39">
        <v>7100</v>
      </c>
      <c r="I39">
        <v>9</v>
      </c>
      <c r="J39" s="1" t="s">
        <v>55</v>
      </c>
      <c r="K39" s="1" t="s">
        <v>9</v>
      </c>
      <c r="L39">
        <v>13</v>
      </c>
      <c r="M39">
        <v>38</v>
      </c>
      <c r="N39">
        <v>108300</v>
      </c>
      <c r="O39">
        <v>85200</v>
      </c>
      <c r="P39">
        <v>23100</v>
      </c>
      <c r="Q39">
        <v>0.21329639889196669</v>
      </c>
    </row>
    <row r="40" spans="1:17" x14ac:dyDescent="0.35">
      <c r="A40">
        <v>1065</v>
      </c>
      <c r="B40">
        <v>46077</v>
      </c>
      <c r="C40" s="1" t="s">
        <v>57</v>
      </c>
      <c r="D40" s="1" t="s">
        <v>23</v>
      </c>
      <c r="E40" s="1" t="s">
        <v>21</v>
      </c>
      <c r="F40">
        <v>7</v>
      </c>
      <c r="G40">
        <v>6200</v>
      </c>
      <c r="H40">
        <v>4300</v>
      </c>
      <c r="I40">
        <v>10</v>
      </c>
      <c r="J40" s="1" t="s">
        <v>58</v>
      </c>
      <c r="K40" s="1" t="s">
        <v>9</v>
      </c>
      <c r="L40">
        <v>7</v>
      </c>
      <c r="M40">
        <v>39</v>
      </c>
      <c r="N40">
        <v>43400</v>
      </c>
      <c r="O40">
        <v>30100</v>
      </c>
      <c r="P40">
        <v>13300</v>
      </c>
      <c r="Q40">
        <v>0.30645161290322581</v>
      </c>
    </row>
    <row r="41" spans="1:17" x14ac:dyDescent="0.35">
      <c r="A41">
        <v>1001</v>
      </c>
      <c r="B41">
        <v>46080</v>
      </c>
      <c r="C41" s="1" t="s">
        <v>43</v>
      </c>
      <c r="D41" s="1" t="s">
        <v>24</v>
      </c>
      <c r="E41" s="1" t="s">
        <v>25</v>
      </c>
      <c r="F41">
        <v>4</v>
      </c>
      <c r="G41">
        <v>700</v>
      </c>
      <c r="H41">
        <v>400</v>
      </c>
      <c r="I41">
        <v>19</v>
      </c>
      <c r="J41" s="1" t="s">
        <v>72</v>
      </c>
      <c r="K41" s="1" t="s">
        <v>9</v>
      </c>
      <c r="L41">
        <v>8</v>
      </c>
      <c r="M41">
        <v>40</v>
      </c>
      <c r="N41">
        <v>2800</v>
      </c>
      <c r="O41">
        <v>1600</v>
      </c>
      <c r="P41">
        <v>1200</v>
      </c>
      <c r="Q41">
        <v>0.42857142857142849</v>
      </c>
    </row>
    <row r="42" spans="1:17" x14ac:dyDescent="0.35">
      <c r="A42">
        <v>1001</v>
      </c>
      <c r="B42">
        <v>46080</v>
      </c>
      <c r="C42" s="1" t="s">
        <v>43</v>
      </c>
      <c r="D42" s="1" t="s">
        <v>23</v>
      </c>
      <c r="E42" s="1" t="s">
        <v>21</v>
      </c>
      <c r="F42">
        <v>7</v>
      </c>
      <c r="G42">
        <v>6200</v>
      </c>
      <c r="H42">
        <v>4300</v>
      </c>
      <c r="I42">
        <v>19</v>
      </c>
      <c r="J42" s="1" t="s">
        <v>72</v>
      </c>
      <c r="K42" s="1" t="s">
        <v>9</v>
      </c>
      <c r="L42">
        <v>7</v>
      </c>
      <c r="M42">
        <v>41</v>
      </c>
      <c r="N42">
        <v>43400</v>
      </c>
      <c r="O42">
        <v>30100</v>
      </c>
      <c r="P42">
        <v>13300</v>
      </c>
      <c r="Q42">
        <v>0.30645161290322581</v>
      </c>
    </row>
    <row r="43" spans="1:17" x14ac:dyDescent="0.35">
      <c r="A43">
        <v>1001</v>
      </c>
      <c r="B43">
        <v>46080</v>
      </c>
      <c r="C43" s="1" t="s">
        <v>43</v>
      </c>
      <c r="D43" s="1" t="s">
        <v>15</v>
      </c>
      <c r="E43" s="1" t="s">
        <v>16</v>
      </c>
      <c r="F43">
        <v>12</v>
      </c>
      <c r="G43">
        <v>49500</v>
      </c>
      <c r="H43">
        <v>46000</v>
      </c>
      <c r="I43">
        <v>19</v>
      </c>
      <c r="J43" s="1" t="s">
        <v>72</v>
      </c>
      <c r="K43" s="1" t="s">
        <v>9</v>
      </c>
      <c r="L43">
        <v>1</v>
      </c>
      <c r="M43">
        <v>42</v>
      </c>
      <c r="N43">
        <v>594000</v>
      </c>
      <c r="O43">
        <v>552000</v>
      </c>
      <c r="P43">
        <v>42000</v>
      </c>
      <c r="Q43">
        <v>7.0707070707070704E-2</v>
      </c>
    </row>
    <row r="44" spans="1:17" x14ac:dyDescent="0.35">
      <c r="A44">
        <v>1009</v>
      </c>
      <c r="B44">
        <v>46080</v>
      </c>
      <c r="C44" s="1" t="s">
        <v>57</v>
      </c>
      <c r="D44" s="1" t="s">
        <v>23</v>
      </c>
      <c r="E44" s="1" t="s">
        <v>21</v>
      </c>
      <c r="F44">
        <v>6</v>
      </c>
      <c r="G44">
        <v>6200</v>
      </c>
      <c r="H44">
        <v>4300</v>
      </c>
      <c r="I44">
        <v>24</v>
      </c>
      <c r="J44" s="1" t="s">
        <v>78</v>
      </c>
      <c r="K44" s="1" t="s">
        <v>10</v>
      </c>
      <c r="L44">
        <v>7</v>
      </c>
      <c r="M44">
        <v>43</v>
      </c>
      <c r="N44">
        <v>37200</v>
      </c>
      <c r="O44">
        <v>25800</v>
      </c>
      <c r="P44">
        <v>11400</v>
      </c>
      <c r="Q44">
        <v>0.30645161290322581</v>
      </c>
    </row>
    <row r="45" spans="1:17" x14ac:dyDescent="0.35">
      <c r="A45">
        <v>1009</v>
      </c>
      <c r="B45">
        <v>46080</v>
      </c>
      <c r="C45" s="1" t="s">
        <v>57</v>
      </c>
      <c r="D45" s="1" t="s">
        <v>24</v>
      </c>
      <c r="E45" s="1" t="s">
        <v>25</v>
      </c>
      <c r="F45">
        <v>7</v>
      </c>
      <c r="G45">
        <v>700</v>
      </c>
      <c r="H45">
        <v>400</v>
      </c>
      <c r="I45">
        <v>24</v>
      </c>
      <c r="J45" s="1" t="s">
        <v>78</v>
      </c>
      <c r="K45" s="1" t="s">
        <v>10</v>
      </c>
      <c r="L45">
        <v>8</v>
      </c>
      <c r="M45">
        <v>44</v>
      </c>
      <c r="N45">
        <v>4900</v>
      </c>
      <c r="O45">
        <v>2800</v>
      </c>
      <c r="P45">
        <v>2100</v>
      </c>
      <c r="Q45">
        <v>0.42857142857142849</v>
      </c>
    </row>
    <row r="46" spans="1:17" x14ac:dyDescent="0.35">
      <c r="A46">
        <v>1009</v>
      </c>
      <c r="B46">
        <v>46080</v>
      </c>
      <c r="C46" s="1" t="s">
        <v>57</v>
      </c>
      <c r="D46" s="1" t="s">
        <v>15</v>
      </c>
      <c r="E46" s="1" t="s">
        <v>16</v>
      </c>
      <c r="F46">
        <v>9</v>
      </c>
      <c r="G46">
        <v>55000</v>
      </c>
      <c r="H46">
        <v>46000</v>
      </c>
      <c r="I46">
        <v>24</v>
      </c>
      <c r="J46" s="1" t="s">
        <v>78</v>
      </c>
      <c r="K46" s="1" t="s">
        <v>10</v>
      </c>
      <c r="L46">
        <v>1</v>
      </c>
      <c r="M46">
        <v>45</v>
      </c>
      <c r="N46">
        <v>495000</v>
      </c>
      <c r="O46">
        <v>414000</v>
      </c>
      <c r="P46">
        <v>81000</v>
      </c>
      <c r="Q46">
        <v>0.16363636363636361</v>
      </c>
    </row>
    <row r="47" spans="1:17" x14ac:dyDescent="0.35">
      <c r="A47">
        <v>1073</v>
      </c>
      <c r="B47">
        <v>46080</v>
      </c>
      <c r="C47" s="1" t="s">
        <v>43</v>
      </c>
      <c r="D47" s="1" t="s">
        <v>19</v>
      </c>
      <c r="E47" s="1" t="s">
        <v>16</v>
      </c>
      <c r="F47">
        <v>5</v>
      </c>
      <c r="G47">
        <v>28000</v>
      </c>
      <c r="H47">
        <v>22500</v>
      </c>
      <c r="I47">
        <v>5</v>
      </c>
      <c r="J47" s="1" t="s">
        <v>49</v>
      </c>
      <c r="K47" s="1" t="s">
        <v>11</v>
      </c>
      <c r="L47">
        <v>4</v>
      </c>
      <c r="M47">
        <v>46</v>
      </c>
      <c r="N47">
        <v>140000</v>
      </c>
      <c r="O47">
        <v>112500</v>
      </c>
      <c r="P47">
        <v>27500</v>
      </c>
      <c r="Q47">
        <v>0.1964285714285714</v>
      </c>
    </row>
    <row r="48" spans="1:17" x14ac:dyDescent="0.35">
      <c r="A48">
        <v>1073</v>
      </c>
      <c r="B48">
        <v>46080</v>
      </c>
      <c r="C48" s="1" t="s">
        <v>43</v>
      </c>
      <c r="D48" s="1" t="s">
        <v>24</v>
      </c>
      <c r="E48" s="1" t="s">
        <v>25</v>
      </c>
      <c r="F48">
        <v>8</v>
      </c>
      <c r="G48">
        <v>630</v>
      </c>
      <c r="H48">
        <v>400</v>
      </c>
      <c r="I48">
        <v>5</v>
      </c>
      <c r="J48" s="1" t="s">
        <v>49</v>
      </c>
      <c r="K48" s="1" t="s">
        <v>11</v>
      </c>
      <c r="L48">
        <v>8</v>
      </c>
      <c r="M48">
        <v>47</v>
      </c>
      <c r="N48">
        <v>5040</v>
      </c>
      <c r="O48">
        <v>3200</v>
      </c>
      <c r="P48">
        <v>1840</v>
      </c>
      <c r="Q48">
        <v>0.36507936507936511</v>
      </c>
    </row>
    <row r="49" spans="1:17" x14ac:dyDescent="0.35">
      <c r="A49">
        <v>1073</v>
      </c>
      <c r="B49">
        <v>46080</v>
      </c>
      <c r="C49" s="1" t="s">
        <v>43</v>
      </c>
      <c r="D49" s="1" t="s">
        <v>32</v>
      </c>
      <c r="E49" s="1" t="s">
        <v>33</v>
      </c>
      <c r="F49">
        <v>7</v>
      </c>
      <c r="G49">
        <v>6500</v>
      </c>
      <c r="H49">
        <v>4700</v>
      </c>
      <c r="I49">
        <v>5</v>
      </c>
      <c r="J49" s="1" t="s">
        <v>49</v>
      </c>
      <c r="K49" s="1" t="s">
        <v>11</v>
      </c>
      <c r="L49">
        <v>14</v>
      </c>
      <c r="M49">
        <v>48</v>
      </c>
      <c r="N49">
        <v>45500</v>
      </c>
      <c r="O49">
        <v>32900</v>
      </c>
      <c r="P49">
        <v>12600</v>
      </c>
      <c r="Q49">
        <v>0.27692307692307688</v>
      </c>
    </row>
    <row r="50" spans="1:17" x14ac:dyDescent="0.35">
      <c r="A50">
        <v>1092</v>
      </c>
      <c r="B50">
        <v>46082</v>
      </c>
      <c r="C50" s="1" t="s">
        <v>40</v>
      </c>
      <c r="D50" s="1" t="s">
        <v>28</v>
      </c>
      <c r="E50" s="1" t="s">
        <v>25</v>
      </c>
      <c r="F50">
        <v>12</v>
      </c>
      <c r="G50">
        <v>3040</v>
      </c>
      <c r="H50">
        <v>2100</v>
      </c>
      <c r="I50">
        <v>17</v>
      </c>
      <c r="J50" s="1" t="s">
        <v>68</v>
      </c>
      <c r="K50" s="1" t="s">
        <v>9</v>
      </c>
      <c r="L50">
        <v>11</v>
      </c>
      <c r="M50">
        <v>49</v>
      </c>
      <c r="N50">
        <v>36480</v>
      </c>
      <c r="O50">
        <v>25200</v>
      </c>
      <c r="P50">
        <v>11280</v>
      </c>
      <c r="Q50">
        <v>0.30921052631578949</v>
      </c>
    </row>
    <row r="51" spans="1:17" x14ac:dyDescent="0.35">
      <c r="A51">
        <v>1092</v>
      </c>
      <c r="B51">
        <v>46082</v>
      </c>
      <c r="C51" s="1" t="s">
        <v>40</v>
      </c>
      <c r="D51" s="1" t="s">
        <v>31</v>
      </c>
      <c r="E51" s="1" t="s">
        <v>30</v>
      </c>
      <c r="F51">
        <v>8</v>
      </c>
      <c r="G51">
        <v>9025</v>
      </c>
      <c r="H51">
        <v>7100</v>
      </c>
      <c r="I51">
        <v>17</v>
      </c>
      <c r="J51" s="1" t="s">
        <v>68</v>
      </c>
      <c r="K51" s="1" t="s">
        <v>9</v>
      </c>
      <c r="L51">
        <v>13</v>
      </c>
      <c r="M51">
        <v>50</v>
      </c>
      <c r="N51">
        <v>72200</v>
      </c>
      <c r="O51">
        <v>56800</v>
      </c>
      <c r="P51">
        <v>15400</v>
      </c>
      <c r="Q51">
        <v>0.21329639889196669</v>
      </c>
    </row>
    <row r="52" spans="1:17" x14ac:dyDescent="0.35">
      <c r="A52">
        <v>1092</v>
      </c>
      <c r="B52">
        <v>46082</v>
      </c>
      <c r="C52" s="1" t="s">
        <v>40</v>
      </c>
      <c r="D52" s="1" t="s">
        <v>23</v>
      </c>
      <c r="E52" s="1" t="s">
        <v>21</v>
      </c>
      <c r="F52">
        <v>10</v>
      </c>
      <c r="G52">
        <v>6200</v>
      </c>
      <c r="H52">
        <v>4300</v>
      </c>
      <c r="I52">
        <v>17</v>
      </c>
      <c r="J52" s="1" t="s">
        <v>68</v>
      </c>
      <c r="K52" s="1" t="s">
        <v>9</v>
      </c>
      <c r="L52">
        <v>7</v>
      </c>
      <c r="M52">
        <v>51</v>
      </c>
      <c r="N52">
        <v>62000</v>
      </c>
      <c r="O52">
        <v>43000</v>
      </c>
      <c r="P52">
        <v>19000</v>
      </c>
      <c r="Q52">
        <v>0.30645161290322581</v>
      </c>
    </row>
    <row r="53" spans="1:17" x14ac:dyDescent="0.35">
      <c r="A53">
        <v>1055</v>
      </c>
      <c r="B53">
        <v>46090</v>
      </c>
      <c r="C53" s="1" t="s">
        <v>57</v>
      </c>
      <c r="D53" s="1" t="s">
        <v>23</v>
      </c>
      <c r="E53" s="1" t="s">
        <v>21</v>
      </c>
      <c r="F53">
        <v>10</v>
      </c>
      <c r="G53">
        <v>6200</v>
      </c>
      <c r="H53">
        <v>4300</v>
      </c>
      <c r="I53">
        <v>20</v>
      </c>
      <c r="J53" s="1" t="s">
        <v>44</v>
      </c>
      <c r="K53" s="1" t="s">
        <v>9</v>
      </c>
      <c r="L53">
        <v>7</v>
      </c>
      <c r="M53">
        <v>52</v>
      </c>
      <c r="N53">
        <v>62000</v>
      </c>
      <c r="O53">
        <v>43000</v>
      </c>
      <c r="P53">
        <v>19000</v>
      </c>
      <c r="Q53">
        <v>0.30645161290322581</v>
      </c>
    </row>
    <row r="54" spans="1:17" x14ac:dyDescent="0.35">
      <c r="A54">
        <v>1006</v>
      </c>
      <c r="B54">
        <v>46101</v>
      </c>
      <c r="C54" s="1" t="s">
        <v>57</v>
      </c>
      <c r="D54" s="1" t="s">
        <v>15</v>
      </c>
      <c r="E54" s="1" t="s">
        <v>16</v>
      </c>
      <c r="F54">
        <v>7</v>
      </c>
      <c r="G54">
        <v>52250</v>
      </c>
      <c r="H54">
        <v>46000</v>
      </c>
      <c r="I54">
        <v>24</v>
      </c>
      <c r="J54" s="1" t="s">
        <v>78</v>
      </c>
      <c r="K54" s="1" t="s">
        <v>8</v>
      </c>
      <c r="L54">
        <v>1</v>
      </c>
      <c r="M54">
        <v>53</v>
      </c>
      <c r="N54">
        <v>365750</v>
      </c>
      <c r="O54">
        <v>322000</v>
      </c>
      <c r="P54">
        <v>43750</v>
      </c>
      <c r="Q54">
        <v>0.1196172248803828</v>
      </c>
    </row>
    <row r="55" spans="1:17" x14ac:dyDescent="0.35">
      <c r="A55">
        <v>1006</v>
      </c>
      <c r="B55">
        <v>46101</v>
      </c>
      <c r="C55" s="1" t="s">
        <v>57</v>
      </c>
      <c r="D55" s="1" t="s">
        <v>17</v>
      </c>
      <c r="E55" s="1" t="s">
        <v>16</v>
      </c>
      <c r="F55">
        <v>8</v>
      </c>
      <c r="G55">
        <v>11400</v>
      </c>
      <c r="H55">
        <v>9500</v>
      </c>
      <c r="I55">
        <v>24</v>
      </c>
      <c r="J55" s="1" t="s">
        <v>78</v>
      </c>
      <c r="K55" s="1" t="s">
        <v>8</v>
      </c>
      <c r="L55">
        <v>2</v>
      </c>
      <c r="M55">
        <v>54</v>
      </c>
      <c r="N55">
        <v>91200</v>
      </c>
      <c r="O55">
        <v>76000</v>
      </c>
      <c r="P55">
        <v>15200</v>
      </c>
      <c r="Q55">
        <v>0.16666666666666671</v>
      </c>
    </row>
    <row r="56" spans="1:17" x14ac:dyDescent="0.35">
      <c r="A56">
        <v>1006</v>
      </c>
      <c r="B56">
        <v>46101</v>
      </c>
      <c r="C56" s="1" t="s">
        <v>57</v>
      </c>
      <c r="D56" s="1" t="s">
        <v>28</v>
      </c>
      <c r="E56" s="1" t="s">
        <v>25</v>
      </c>
      <c r="F56">
        <v>1</v>
      </c>
      <c r="G56">
        <v>3200</v>
      </c>
      <c r="H56">
        <v>2100</v>
      </c>
      <c r="I56">
        <v>24</v>
      </c>
      <c r="J56" s="1" t="s">
        <v>78</v>
      </c>
      <c r="K56" s="1" t="s">
        <v>8</v>
      </c>
      <c r="L56">
        <v>11</v>
      </c>
      <c r="M56">
        <v>55</v>
      </c>
      <c r="N56">
        <v>3200</v>
      </c>
      <c r="O56">
        <v>2100</v>
      </c>
      <c r="P56">
        <v>1100</v>
      </c>
      <c r="Q56">
        <v>0.34375</v>
      </c>
    </row>
    <row r="57" spans="1:17" x14ac:dyDescent="0.35">
      <c r="A57">
        <v>1080</v>
      </c>
      <c r="B57">
        <v>46102</v>
      </c>
      <c r="C57" s="1" t="s">
        <v>40</v>
      </c>
      <c r="D57" s="1" t="s">
        <v>22</v>
      </c>
      <c r="E57" s="1" t="s">
        <v>21</v>
      </c>
      <c r="F57">
        <v>8</v>
      </c>
      <c r="G57">
        <v>8500</v>
      </c>
      <c r="H57">
        <v>6200</v>
      </c>
      <c r="I57">
        <v>16</v>
      </c>
      <c r="J57" s="1" t="s">
        <v>67</v>
      </c>
      <c r="K57" s="1" t="s">
        <v>10</v>
      </c>
      <c r="L57">
        <v>6</v>
      </c>
      <c r="M57">
        <v>56</v>
      </c>
      <c r="N57">
        <v>68000</v>
      </c>
      <c r="O57">
        <v>49600</v>
      </c>
      <c r="P57">
        <v>18400</v>
      </c>
      <c r="Q57">
        <v>0.27058823529411757</v>
      </c>
    </row>
    <row r="58" spans="1:17" x14ac:dyDescent="0.35">
      <c r="A58">
        <v>1080</v>
      </c>
      <c r="B58">
        <v>46102</v>
      </c>
      <c r="C58" s="1" t="s">
        <v>40</v>
      </c>
      <c r="D58" s="1" t="s">
        <v>19</v>
      </c>
      <c r="E58" s="1" t="s">
        <v>16</v>
      </c>
      <c r="F58">
        <v>6</v>
      </c>
      <c r="G58">
        <v>28000</v>
      </c>
      <c r="H58">
        <v>22500</v>
      </c>
      <c r="I58">
        <v>16</v>
      </c>
      <c r="J58" s="1" t="s">
        <v>67</v>
      </c>
      <c r="K58" s="1" t="s">
        <v>10</v>
      </c>
      <c r="L58">
        <v>4</v>
      </c>
      <c r="M58">
        <v>57</v>
      </c>
      <c r="N58">
        <v>168000</v>
      </c>
      <c r="O58">
        <v>135000</v>
      </c>
      <c r="P58">
        <v>33000</v>
      </c>
      <c r="Q58">
        <v>0.1964285714285714</v>
      </c>
    </row>
    <row r="59" spans="1:17" x14ac:dyDescent="0.35">
      <c r="A59">
        <v>1081</v>
      </c>
      <c r="B59">
        <v>46113</v>
      </c>
      <c r="C59" s="1" t="s">
        <v>43</v>
      </c>
      <c r="D59" s="1" t="s">
        <v>31</v>
      </c>
      <c r="E59" s="1" t="s">
        <v>30</v>
      </c>
      <c r="F59">
        <v>5</v>
      </c>
      <c r="G59">
        <v>8550</v>
      </c>
      <c r="H59">
        <v>7100</v>
      </c>
      <c r="I59">
        <v>27</v>
      </c>
      <c r="J59" s="1" t="s">
        <v>55</v>
      </c>
      <c r="K59" s="1" t="s">
        <v>9</v>
      </c>
      <c r="L59">
        <v>13</v>
      </c>
      <c r="M59">
        <v>58</v>
      </c>
      <c r="N59">
        <v>42750</v>
      </c>
      <c r="O59">
        <v>35500</v>
      </c>
      <c r="P59">
        <v>7250</v>
      </c>
      <c r="Q59">
        <v>0.16959064327485379</v>
      </c>
    </row>
    <row r="60" spans="1:17" x14ac:dyDescent="0.35">
      <c r="A60">
        <v>1081</v>
      </c>
      <c r="B60">
        <v>46113</v>
      </c>
      <c r="C60" s="1" t="s">
        <v>43</v>
      </c>
      <c r="D60" s="1" t="s">
        <v>23</v>
      </c>
      <c r="E60" s="1" t="s">
        <v>21</v>
      </c>
      <c r="F60">
        <v>8</v>
      </c>
      <c r="G60">
        <v>5580</v>
      </c>
      <c r="H60">
        <v>4300</v>
      </c>
      <c r="I60">
        <v>27</v>
      </c>
      <c r="J60" s="1" t="s">
        <v>55</v>
      </c>
      <c r="K60" s="1" t="s">
        <v>9</v>
      </c>
      <c r="L60">
        <v>7</v>
      </c>
      <c r="M60">
        <v>59</v>
      </c>
      <c r="N60">
        <v>44640</v>
      </c>
      <c r="O60">
        <v>34400</v>
      </c>
      <c r="P60">
        <v>10240</v>
      </c>
      <c r="Q60">
        <v>0.2293906810035842</v>
      </c>
    </row>
    <row r="61" spans="1:17" x14ac:dyDescent="0.35">
      <c r="A61">
        <v>1033</v>
      </c>
      <c r="B61">
        <v>46116</v>
      </c>
      <c r="C61" s="1" t="s">
        <v>65</v>
      </c>
      <c r="D61" s="1" t="s">
        <v>26</v>
      </c>
      <c r="E61" s="1" t="s">
        <v>25</v>
      </c>
      <c r="F61">
        <v>4</v>
      </c>
      <c r="G61">
        <v>1350</v>
      </c>
      <c r="H61">
        <v>900</v>
      </c>
      <c r="I61">
        <v>18</v>
      </c>
      <c r="J61" s="1" t="s">
        <v>70</v>
      </c>
      <c r="K61" s="1" t="s">
        <v>9</v>
      </c>
      <c r="L61">
        <v>9</v>
      </c>
      <c r="M61">
        <v>60</v>
      </c>
      <c r="N61">
        <v>5400</v>
      </c>
      <c r="O61">
        <v>3600</v>
      </c>
      <c r="P61">
        <v>1800</v>
      </c>
      <c r="Q61">
        <v>0.33333333333333331</v>
      </c>
    </row>
    <row r="62" spans="1:17" x14ac:dyDescent="0.35">
      <c r="A62">
        <v>1033</v>
      </c>
      <c r="B62">
        <v>46116</v>
      </c>
      <c r="C62" s="1" t="s">
        <v>65</v>
      </c>
      <c r="D62" s="1" t="s">
        <v>15</v>
      </c>
      <c r="E62" s="1" t="s">
        <v>16</v>
      </c>
      <c r="F62">
        <v>11</v>
      </c>
      <c r="G62">
        <v>49500</v>
      </c>
      <c r="H62">
        <v>46000</v>
      </c>
      <c r="I62">
        <v>18</v>
      </c>
      <c r="J62" s="1" t="s">
        <v>70</v>
      </c>
      <c r="K62" s="1" t="s">
        <v>9</v>
      </c>
      <c r="L62">
        <v>1</v>
      </c>
      <c r="M62">
        <v>61</v>
      </c>
      <c r="N62">
        <v>544500</v>
      </c>
      <c r="O62">
        <v>506000</v>
      </c>
      <c r="P62">
        <v>38500</v>
      </c>
      <c r="Q62">
        <v>7.0707070707070704E-2</v>
      </c>
    </row>
    <row r="63" spans="1:17" x14ac:dyDescent="0.35">
      <c r="A63">
        <v>1033</v>
      </c>
      <c r="B63">
        <v>46116</v>
      </c>
      <c r="C63" s="1" t="s">
        <v>65</v>
      </c>
      <c r="D63" s="1" t="s">
        <v>22</v>
      </c>
      <c r="E63" s="1" t="s">
        <v>21</v>
      </c>
      <c r="F63">
        <v>1</v>
      </c>
      <c r="G63">
        <v>8075</v>
      </c>
      <c r="H63">
        <v>6200</v>
      </c>
      <c r="I63">
        <v>18</v>
      </c>
      <c r="J63" s="1" t="s">
        <v>70</v>
      </c>
      <c r="K63" s="1" t="s">
        <v>9</v>
      </c>
      <c r="L63">
        <v>6</v>
      </c>
      <c r="M63">
        <v>62</v>
      </c>
      <c r="N63">
        <v>8075</v>
      </c>
      <c r="O63">
        <v>6200</v>
      </c>
      <c r="P63">
        <v>1875</v>
      </c>
      <c r="Q63">
        <v>0.2321981424148607</v>
      </c>
    </row>
    <row r="64" spans="1:17" x14ac:dyDescent="0.35">
      <c r="A64">
        <v>1032</v>
      </c>
      <c r="B64">
        <v>46120</v>
      </c>
      <c r="C64" s="1" t="s">
        <v>46</v>
      </c>
      <c r="D64" s="1" t="s">
        <v>32</v>
      </c>
      <c r="E64" s="1" t="s">
        <v>33</v>
      </c>
      <c r="F64">
        <v>1</v>
      </c>
      <c r="G64">
        <v>6500</v>
      </c>
      <c r="H64">
        <v>4700</v>
      </c>
      <c r="I64">
        <v>29</v>
      </c>
      <c r="J64" s="1" t="s">
        <v>82</v>
      </c>
      <c r="K64" s="1" t="s">
        <v>9</v>
      </c>
      <c r="L64">
        <v>14</v>
      </c>
      <c r="M64">
        <v>63</v>
      </c>
      <c r="N64">
        <v>6500</v>
      </c>
      <c r="O64">
        <v>4700</v>
      </c>
      <c r="P64">
        <v>1800</v>
      </c>
      <c r="Q64">
        <v>0.27692307692307688</v>
      </c>
    </row>
    <row r="65" spans="1:17" x14ac:dyDescent="0.35">
      <c r="A65">
        <v>1088</v>
      </c>
      <c r="B65">
        <v>46121</v>
      </c>
      <c r="C65" s="1" t="s">
        <v>43</v>
      </c>
      <c r="D65" s="1" t="s">
        <v>19</v>
      </c>
      <c r="E65" s="1" t="s">
        <v>16</v>
      </c>
      <c r="F65">
        <v>3</v>
      </c>
      <c r="G65">
        <v>28000</v>
      </c>
      <c r="H65">
        <v>22500</v>
      </c>
      <c r="I65">
        <v>26</v>
      </c>
      <c r="J65" s="1" t="s">
        <v>80</v>
      </c>
      <c r="K65" s="1" t="s">
        <v>9</v>
      </c>
      <c r="L65">
        <v>4</v>
      </c>
      <c r="M65">
        <v>64</v>
      </c>
      <c r="N65">
        <v>84000</v>
      </c>
      <c r="O65">
        <v>67500</v>
      </c>
      <c r="P65">
        <v>16500</v>
      </c>
      <c r="Q65">
        <v>0.1964285714285714</v>
      </c>
    </row>
    <row r="66" spans="1:17" x14ac:dyDescent="0.35">
      <c r="A66">
        <v>1067</v>
      </c>
      <c r="B66">
        <v>46127</v>
      </c>
      <c r="C66" s="1" t="s">
        <v>40</v>
      </c>
      <c r="D66" s="1" t="s">
        <v>17</v>
      </c>
      <c r="E66" s="1" t="s">
        <v>16</v>
      </c>
      <c r="F66">
        <v>8</v>
      </c>
      <c r="G66">
        <v>12000</v>
      </c>
      <c r="H66">
        <v>9500</v>
      </c>
      <c r="I66">
        <v>17</v>
      </c>
      <c r="J66" s="1" t="s">
        <v>68</v>
      </c>
      <c r="K66" s="1" t="s">
        <v>9</v>
      </c>
      <c r="L66">
        <v>2</v>
      </c>
      <c r="M66">
        <v>65</v>
      </c>
      <c r="N66">
        <v>96000</v>
      </c>
      <c r="O66">
        <v>76000</v>
      </c>
      <c r="P66">
        <v>20000</v>
      </c>
      <c r="Q66">
        <v>0.20833333333333329</v>
      </c>
    </row>
    <row r="67" spans="1:17" x14ac:dyDescent="0.35">
      <c r="A67">
        <v>1067</v>
      </c>
      <c r="B67">
        <v>46127</v>
      </c>
      <c r="C67" s="1" t="s">
        <v>40</v>
      </c>
      <c r="D67" s="1" t="s">
        <v>27</v>
      </c>
      <c r="E67" s="1" t="s">
        <v>25</v>
      </c>
      <c r="F67">
        <v>6</v>
      </c>
      <c r="G67">
        <v>2090</v>
      </c>
      <c r="H67">
        <v>1350</v>
      </c>
      <c r="I67">
        <v>17</v>
      </c>
      <c r="J67" s="1" t="s">
        <v>68</v>
      </c>
      <c r="K67" s="1" t="s">
        <v>9</v>
      </c>
      <c r="L67">
        <v>10</v>
      </c>
      <c r="M67">
        <v>66</v>
      </c>
      <c r="N67">
        <v>12540</v>
      </c>
      <c r="O67">
        <v>8100</v>
      </c>
      <c r="P67">
        <v>4440</v>
      </c>
      <c r="Q67">
        <v>0.35406698564593297</v>
      </c>
    </row>
    <row r="68" spans="1:17" x14ac:dyDescent="0.35">
      <c r="A68">
        <v>1067</v>
      </c>
      <c r="B68">
        <v>46127</v>
      </c>
      <c r="C68" s="1" t="s">
        <v>40</v>
      </c>
      <c r="D68" s="1" t="s">
        <v>19</v>
      </c>
      <c r="E68" s="1" t="s">
        <v>16</v>
      </c>
      <c r="F68">
        <v>10</v>
      </c>
      <c r="G68">
        <v>28000</v>
      </c>
      <c r="H68">
        <v>22500</v>
      </c>
      <c r="I68">
        <v>17</v>
      </c>
      <c r="J68" s="1" t="s">
        <v>68</v>
      </c>
      <c r="K68" s="1" t="s">
        <v>9</v>
      </c>
      <c r="L68">
        <v>4</v>
      </c>
      <c r="M68">
        <v>67</v>
      </c>
      <c r="N68">
        <v>280000</v>
      </c>
      <c r="O68">
        <v>225000</v>
      </c>
      <c r="P68">
        <v>55000</v>
      </c>
      <c r="Q68">
        <v>0.1964285714285714</v>
      </c>
    </row>
    <row r="69" spans="1:17" x14ac:dyDescent="0.35">
      <c r="A69">
        <v>1025</v>
      </c>
      <c r="B69">
        <v>46132</v>
      </c>
      <c r="C69" s="1" t="s">
        <v>57</v>
      </c>
      <c r="D69" s="1" t="s">
        <v>29</v>
      </c>
      <c r="E69" s="1" t="s">
        <v>30</v>
      </c>
      <c r="F69">
        <v>5</v>
      </c>
      <c r="G69">
        <v>4320</v>
      </c>
      <c r="H69">
        <v>3400</v>
      </c>
      <c r="I69">
        <v>9</v>
      </c>
      <c r="J69" s="1" t="s">
        <v>55</v>
      </c>
      <c r="K69" s="1" t="s">
        <v>8</v>
      </c>
      <c r="L69">
        <v>12</v>
      </c>
      <c r="M69">
        <v>68</v>
      </c>
      <c r="N69">
        <v>21600</v>
      </c>
      <c r="O69">
        <v>17000</v>
      </c>
      <c r="P69">
        <v>4600</v>
      </c>
      <c r="Q69">
        <v>0.21296296296296299</v>
      </c>
    </row>
    <row r="70" spans="1:17" x14ac:dyDescent="0.35">
      <c r="A70">
        <v>1025</v>
      </c>
      <c r="B70">
        <v>46132</v>
      </c>
      <c r="C70" s="1" t="s">
        <v>57</v>
      </c>
      <c r="D70" s="1" t="s">
        <v>17</v>
      </c>
      <c r="E70" s="1" t="s">
        <v>16</v>
      </c>
      <c r="F70">
        <v>10</v>
      </c>
      <c r="G70">
        <v>10800</v>
      </c>
      <c r="H70">
        <v>9500</v>
      </c>
      <c r="I70">
        <v>9</v>
      </c>
      <c r="J70" s="1" t="s">
        <v>55</v>
      </c>
      <c r="K70" s="1" t="s">
        <v>8</v>
      </c>
      <c r="L70">
        <v>2</v>
      </c>
      <c r="M70">
        <v>69</v>
      </c>
      <c r="N70">
        <v>108000</v>
      </c>
      <c r="O70">
        <v>95000</v>
      </c>
      <c r="P70">
        <v>13000</v>
      </c>
      <c r="Q70">
        <v>0.12037037037037041</v>
      </c>
    </row>
    <row r="71" spans="1:17" x14ac:dyDescent="0.35">
      <c r="A71">
        <v>1025</v>
      </c>
      <c r="B71">
        <v>46132</v>
      </c>
      <c r="C71" s="1" t="s">
        <v>57</v>
      </c>
      <c r="D71" s="1" t="s">
        <v>18</v>
      </c>
      <c r="E71" s="1" t="s">
        <v>16</v>
      </c>
      <c r="F71">
        <v>5</v>
      </c>
      <c r="G71">
        <v>18000</v>
      </c>
      <c r="H71">
        <v>14500</v>
      </c>
      <c r="I71">
        <v>9</v>
      </c>
      <c r="J71" s="1" t="s">
        <v>55</v>
      </c>
      <c r="K71" s="1" t="s">
        <v>8</v>
      </c>
      <c r="L71">
        <v>3</v>
      </c>
      <c r="M71">
        <v>70</v>
      </c>
      <c r="N71">
        <v>90000</v>
      </c>
      <c r="O71">
        <v>72500</v>
      </c>
      <c r="P71">
        <v>17500</v>
      </c>
      <c r="Q71">
        <v>0.19444444444444439</v>
      </c>
    </row>
    <row r="72" spans="1:17" x14ac:dyDescent="0.35">
      <c r="A72">
        <v>1058</v>
      </c>
      <c r="B72">
        <v>46132</v>
      </c>
      <c r="C72" s="1" t="s">
        <v>65</v>
      </c>
      <c r="D72" s="1" t="s">
        <v>23</v>
      </c>
      <c r="E72" s="1" t="s">
        <v>21</v>
      </c>
      <c r="F72">
        <v>4</v>
      </c>
      <c r="G72">
        <v>5580</v>
      </c>
      <c r="H72">
        <v>4300</v>
      </c>
      <c r="I72">
        <v>33</v>
      </c>
      <c r="J72" s="1" t="s">
        <v>87</v>
      </c>
      <c r="K72" s="1" t="s">
        <v>9</v>
      </c>
      <c r="L72">
        <v>7</v>
      </c>
      <c r="M72">
        <v>71</v>
      </c>
      <c r="N72">
        <v>22320</v>
      </c>
      <c r="O72">
        <v>17200</v>
      </c>
      <c r="P72">
        <v>5120</v>
      </c>
      <c r="Q72">
        <v>0.2293906810035842</v>
      </c>
    </row>
    <row r="73" spans="1:17" x14ac:dyDescent="0.35">
      <c r="A73">
        <v>1058</v>
      </c>
      <c r="B73">
        <v>46132</v>
      </c>
      <c r="C73" s="1" t="s">
        <v>65</v>
      </c>
      <c r="D73" s="1" t="s">
        <v>32</v>
      </c>
      <c r="E73" s="1" t="s">
        <v>33</v>
      </c>
      <c r="F73">
        <v>10</v>
      </c>
      <c r="G73">
        <v>6175</v>
      </c>
      <c r="H73">
        <v>4700</v>
      </c>
      <c r="I73">
        <v>33</v>
      </c>
      <c r="J73" s="1" t="s">
        <v>87</v>
      </c>
      <c r="K73" s="1" t="s">
        <v>9</v>
      </c>
      <c r="L73">
        <v>14</v>
      </c>
      <c r="M73">
        <v>72</v>
      </c>
      <c r="N73">
        <v>61750</v>
      </c>
      <c r="O73">
        <v>47000</v>
      </c>
      <c r="P73">
        <v>14750</v>
      </c>
      <c r="Q73">
        <v>0.23886639676113361</v>
      </c>
    </row>
    <row r="74" spans="1:17" x14ac:dyDescent="0.35">
      <c r="A74">
        <v>1058</v>
      </c>
      <c r="B74">
        <v>46132</v>
      </c>
      <c r="C74" s="1" t="s">
        <v>65</v>
      </c>
      <c r="D74" s="1" t="s">
        <v>29</v>
      </c>
      <c r="E74" s="1" t="s">
        <v>30</v>
      </c>
      <c r="F74">
        <v>2</v>
      </c>
      <c r="G74">
        <v>4800</v>
      </c>
      <c r="H74">
        <v>3400</v>
      </c>
      <c r="I74">
        <v>33</v>
      </c>
      <c r="J74" s="1" t="s">
        <v>87</v>
      </c>
      <c r="K74" s="1" t="s">
        <v>9</v>
      </c>
      <c r="L74">
        <v>12</v>
      </c>
      <c r="M74">
        <v>73</v>
      </c>
      <c r="N74">
        <v>9600</v>
      </c>
      <c r="O74">
        <v>6800</v>
      </c>
      <c r="P74">
        <v>2800</v>
      </c>
      <c r="Q74">
        <v>0.29166666666666669</v>
      </c>
    </row>
    <row r="75" spans="1:17" x14ac:dyDescent="0.35">
      <c r="A75">
        <v>1019</v>
      </c>
      <c r="B75">
        <v>46138</v>
      </c>
      <c r="C75" s="1" t="s">
        <v>43</v>
      </c>
      <c r="D75" s="1" t="s">
        <v>27</v>
      </c>
      <c r="E75" s="1" t="s">
        <v>25</v>
      </c>
      <c r="F75">
        <v>10</v>
      </c>
      <c r="G75">
        <v>1980</v>
      </c>
      <c r="H75">
        <v>1350</v>
      </c>
      <c r="I75">
        <v>5</v>
      </c>
      <c r="J75" s="1" t="s">
        <v>49</v>
      </c>
      <c r="K75" s="1" t="s">
        <v>9</v>
      </c>
      <c r="L75">
        <v>10</v>
      </c>
      <c r="M75">
        <v>74</v>
      </c>
      <c r="N75">
        <v>19800</v>
      </c>
      <c r="O75">
        <v>13500</v>
      </c>
      <c r="P75">
        <v>6300</v>
      </c>
      <c r="Q75">
        <v>0.31818181818181818</v>
      </c>
    </row>
    <row r="76" spans="1:17" x14ac:dyDescent="0.35">
      <c r="A76">
        <v>1019</v>
      </c>
      <c r="B76">
        <v>46138</v>
      </c>
      <c r="C76" s="1" t="s">
        <v>43</v>
      </c>
      <c r="D76" s="1" t="s">
        <v>31</v>
      </c>
      <c r="E76" s="1" t="s">
        <v>30</v>
      </c>
      <c r="F76">
        <v>6</v>
      </c>
      <c r="G76">
        <v>9500</v>
      </c>
      <c r="H76">
        <v>7100</v>
      </c>
      <c r="I76">
        <v>5</v>
      </c>
      <c r="J76" s="1" t="s">
        <v>49</v>
      </c>
      <c r="K76" s="1" t="s">
        <v>9</v>
      </c>
      <c r="L76">
        <v>13</v>
      </c>
      <c r="M76">
        <v>75</v>
      </c>
      <c r="N76">
        <v>57000</v>
      </c>
      <c r="O76">
        <v>42600</v>
      </c>
      <c r="P76">
        <v>14400</v>
      </c>
      <c r="Q76">
        <v>0.25263157894736837</v>
      </c>
    </row>
    <row r="77" spans="1:17" x14ac:dyDescent="0.35">
      <c r="A77">
        <v>1019</v>
      </c>
      <c r="B77">
        <v>46138</v>
      </c>
      <c r="C77" s="1" t="s">
        <v>43</v>
      </c>
      <c r="D77" s="1" t="s">
        <v>17</v>
      </c>
      <c r="E77" s="1" t="s">
        <v>16</v>
      </c>
      <c r="F77">
        <v>7</v>
      </c>
      <c r="G77">
        <v>12000</v>
      </c>
      <c r="H77">
        <v>9500</v>
      </c>
      <c r="I77">
        <v>5</v>
      </c>
      <c r="J77" s="1" t="s">
        <v>49</v>
      </c>
      <c r="K77" s="1" t="s">
        <v>9</v>
      </c>
      <c r="L77">
        <v>2</v>
      </c>
      <c r="M77">
        <v>76</v>
      </c>
      <c r="N77">
        <v>84000</v>
      </c>
      <c r="O77">
        <v>66500</v>
      </c>
      <c r="P77">
        <v>17500</v>
      </c>
      <c r="Q77">
        <v>0.20833333333333329</v>
      </c>
    </row>
    <row r="78" spans="1:17" x14ac:dyDescent="0.35">
      <c r="A78">
        <v>1087</v>
      </c>
      <c r="B78">
        <v>46139</v>
      </c>
      <c r="C78" s="1" t="s">
        <v>46</v>
      </c>
      <c r="D78" s="1" t="s">
        <v>26</v>
      </c>
      <c r="E78" s="1" t="s">
        <v>25</v>
      </c>
      <c r="F78">
        <v>11</v>
      </c>
      <c r="G78">
        <v>1500</v>
      </c>
      <c r="H78">
        <v>900</v>
      </c>
      <c r="I78">
        <v>15</v>
      </c>
      <c r="J78" s="1" t="s">
        <v>50</v>
      </c>
      <c r="K78" s="1" t="s">
        <v>9</v>
      </c>
      <c r="L78">
        <v>9</v>
      </c>
      <c r="M78">
        <v>77</v>
      </c>
      <c r="N78">
        <v>16500</v>
      </c>
      <c r="O78">
        <v>9900</v>
      </c>
      <c r="P78">
        <v>6600</v>
      </c>
      <c r="Q78">
        <v>0.4</v>
      </c>
    </row>
    <row r="79" spans="1:17" x14ac:dyDescent="0.35">
      <c r="A79">
        <v>1049</v>
      </c>
      <c r="B79">
        <v>46143</v>
      </c>
      <c r="C79" s="1" t="s">
        <v>43</v>
      </c>
      <c r="D79" s="1" t="s">
        <v>32</v>
      </c>
      <c r="E79" s="1" t="s">
        <v>33</v>
      </c>
      <c r="F79">
        <v>7</v>
      </c>
      <c r="G79">
        <v>6500</v>
      </c>
      <c r="H79">
        <v>4700</v>
      </c>
      <c r="I79">
        <v>26</v>
      </c>
      <c r="J79" s="1" t="s">
        <v>80</v>
      </c>
      <c r="K79" s="1" t="s">
        <v>9</v>
      </c>
      <c r="L79">
        <v>14</v>
      </c>
      <c r="M79">
        <v>78</v>
      </c>
      <c r="N79">
        <v>45500</v>
      </c>
      <c r="O79">
        <v>32900</v>
      </c>
      <c r="P79">
        <v>12600</v>
      </c>
      <c r="Q79">
        <v>0.27692307692307688</v>
      </c>
    </row>
    <row r="80" spans="1:17" x14ac:dyDescent="0.35">
      <c r="A80">
        <v>1024</v>
      </c>
      <c r="B80">
        <v>46144</v>
      </c>
      <c r="C80" s="1" t="s">
        <v>65</v>
      </c>
      <c r="D80" s="1" t="s">
        <v>23</v>
      </c>
      <c r="E80" s="1" t="s">
        <v>21</v>
      </c>
      <c r="F80">
        <v>6</v>
      </c>
      <c r="G80">
        <v>6200</v>
      </c>
      <c r="H80">
        <v>4300</v>
      </c>
      <c r="I80">
        <v>18</v>
      </c>
      <c r="J80" s="1" t="s">
        <v>70</v>
      </c>
      <c r="K80" s="1" t="s">
        <v>8</v>
      </c>
      <c r="L80">
        <v>7</v>
      </c>
      <c r="M80">
        <v>79</v>
      </c>
      <c r="N80">
        <v>37200</v>
      </c>
      <c r="O80">
        <v>25800</v>
      </c>
      <c r="P80">
        <v>11400</v>
      </c>
      <c r="Q80">
        <v>0.30645161290322581</v>
      </c>
    </row>
    <row r="81" spans="1:17" x14ac:dyDescent="0.35">
      <c r="A81">
        <v>1037</v>
      </c>
      <c r="B81">
        <v>46144</v>
      </c>
      <c r="C81" s="1" t="s">
        <v>40</v>
      </c>
      <c r="D81" s="1" t="s">
        <v>18</v>
      </c>
      <c r="E81" s="1" t="s">
        <v>16</v>
      </c>
      <c r="F81">
        <v>12</v>
      </c>
      <c r="G81">
        <v>18000</v>
      </c>
      <c r="H81">
        <v>14500</v>
      </c>
      <c r="I81">
        <v>11</v>
      </c>
      <c r="J81" s="1" t="s">
        <v>60</v>
      </c>
      <c r="K81" s="1" t="s">
        <v>9</v>
      </c>
      <c r="L81">
        <v>3</v>
      </c>
      <c r="M81">
        <v>80</v>
      </c>
      <c r="N81">
        <v>216000</v>
      </c>
      <c r="O81">
        <v>174000</v>
      </c>
      <c r="P81">
        <v>42000</v>
      </c>
      <c r="Q81">
        <v>0.19444444444444439</v>
      </c>
    </row>
    <row r="82" spans="1:17" x14ac:dyDescent="0.35">
      <c r="A82">
        <v>1037</v>
      </c>
      <c r="B82">
        <v>46144</v>
      </c>
      <c r="C82" s="1" t="s">
        <v>40</v>
      </c>
      <c r="D82" s="1" t="s">
        <v>23</v>
      </c>
      <c r="E82" s="1" t="s">
        <v>21</v>
      </c>
      <c r="F82">
        <v>11</v>
      </c>
      <c r="G82">
        <v>6200</v>
      </c>
      <c r="H82">
        <v>4300</v>
      </c>
      <c r="I82">
        <v>11</v>
      </c>
      <c r="J82" s="1" t="s">
        <v>60</v>
      </c>
      <c r="K82" s="1" t="s">
        <v>9</v>
      </c>
      <c r="L82">
        <v>7</v>
      </c>
      <c r="M82">
        <v>81</v>
      </c>
      <c r="N82">
        <v>68200</v>
      </c>
      <c r="O82">
        <v>47300</v>
      </c>
      <c r="P82">
        <v>20900</v>
      </c>
      <c r="Q82">
        <v>0.30645161290322581</v>
      </c>
    </row>
    <row r="83" spans="1:17" x14ac:dyDescent="0.35">
      <c r="A83">
        <v>1037</v>
      </c>
      <c r="B83">
        <v>46144</v>
      </c>
      <c r="C83" s="1" t="s">
        <v>40</v>
      </c>
      <c r="D83" s="1" t="s">
        <v>32</v>
      </c>
      <c r="E83" s="1" t="s">
        <v>33</v>
      </c>
      <c r="F83">
        <v>10</v>
      </c>
      <c r="G83">
        <v>6500</v>
      </c>
      <c r="H83">
        <v>4700</v>
      </c>
      <c r="I83">
        <v>11</v>
      </c>
      <c r="J83" s="1" t="s">
        <v>60</v>
      </c>
      <c r="K83" s="1" t="s">
        <v>9</v>
      </c>
      <c r="L83">
        <v>14</v>
      </c>
      <c r="M83">
        <v>82</v>
      </c>
      <c r="N83">
        <v>65000</v>
      </c>
      <c r="O83">
        <v>47000</v>
      </c>
      <c r="P83">
        <v>18000</v>
      </c>
      <c r="Q83">
        <v>0.27692307692307688</v>
      </c>
    </row>
    <row r="84" spans="1:17" x14ac:dyDescent="0.35">
      <c r="A84">
        <v>1078</v>
      </c>
      <c r="B84">
        <v>46150</v>
      </c>
      <c r="C84" s="1" t="s">
        <v>43</v>
      </c>
      <c r="D84" s="1" t="s">
        <v>24</v>
      </c>
      <c r="E84" s="1" t="s">
        <v>25</v>
      </c>
      <c r="F84">
        <v>12</v>
      </c>
      <c r="G84">
        <v>700</v>
      </c>
      <c r="H84">
        <v>400</v>
      </c>
      <c r="I84">
        <v>7</v>
      </c>
      <c r="J84" s="1" t="s">
        <v>51</v>
      </c>
      <c r="K84" s="1" t="s">
        <v>9</v>
      </c>
      <c r="L84">
        <v>8</v>
      </c>
      <c r="M84">
        <v>83</v>
      </c>
      <c r="N84">
        <v>8400</v>
      </c>
      <c r="O84">
        <v>4800</v>
      </c>
      <c r="P84">
        <v>3600</v>
      </c>
      <c r="Q84">
        <v>0.42857142857142849</v>
      </c>
    </row>
    <row r="85" spans="1:17" x14ac:dyDescent="0.35">
      <c r="A85">
        <v>1078</v>
      </c>
      <c r="B85">
        <v>46150</v>
      </c>
      <c r="C85" s="1" t="s">
        <v>43</v>
      </c>
      <c r="D85" s="1" t="s">
        <v>23</v>
      </c>
      <c r="E85" s="1" t="s">
        <v>21</v>
      </c>
      <c r="F85">
        <v>5</v>
      </c>
      <c r="G85">
        <v>6200</v>
      </c>
      <c r="H85">
        <v>4300</v>
      </c>
      <c r="I85">
        <v>7</v>
      </c>
      <c r="J85" s="1" t="s">
        <v>51</v>
      </c>
      <c r="K85" s="1" t="s">
        <v>9</v>
      </c>
      <c r="L85">
        <v>7</v>
      </c>
      <c r="M85">
        <v>84</v>
      </c>
      <c r="N85">
        <v>31000</v>
      </c>
      <c r="O85">
        <v>21500</v>
      </c>
      <c r="P85">
        <v>9500</v>
      </c>
      <c r="Q85">
        <v>0.30645161290322581</v>
      </c>
    </row>
    <row r="86" spans="1:17" x14ac:dyDescent="0.35">
      <c r="A86">
        <v>1083</v>
      </c>
      <c r="B86">
        <v>46150</v>
      </c>
      <c r="C86" s="1" t="s">
        <v>65</v>
      </c>
      <c r="D86" s="1" t="s">
        <v>32</v>
      </c>
      <c r="E86" s="1" t="s">
        <v>33</v>
      </c>
      <c r="F86">
        <v>2</v>
      </c>
      <c r="G86">
        <v>6500</v>
      </c>
      <c r="H86">
        <v>4700</v>
      </c>
      <c r="I86">
        <v>18</v>
      </c>
      <c r="J86" s="1" t="s">
        <v>70</v>
      </c>
      <c r="K86" s="1" t="s">
        <v>9</v>
      </c>
      <c r="L86">
        <v>14</v>
      </c>
      <c r="M86">
        <v>85</v>
      </c>
      <c r="N86">
        <v>13000</v>
      </c>
      <c r="O86">
        <v>9400</v>
      </c>
      <c r="P86">
        <v>3600</v>
      </c>
      <c r="Q86">
        <v>0.27692307692307688</v>
      </c>
    </row>
    <row r="87" spans="1:17" x14ac:dyDescent="0.35">
      <c r="A87">
        <v>1068</v>
      </c>
      <c r="B87">
        <v>46151</v>
      </c>
      <c r="C87" s="1" t="s">
        <v>40</v>
      </c>
      <c r="D87" s="1" t="s">
        <v>19</v>
      </c>
      <c r="E87" s="1" t="s">
        <v>16</v>
      </c>
      <c r="F87">
        <v>8</v>
      </c>
      <c r="G87">
        <v>28000</v>
      </c>
      <c r="H87">
        <v>22500</v>
      </c>
      <c r="I87">
        <v>4</v>
      </c>
      <c r="J87" s="1" t="s">
        <v>47</v>
      </c>
      <c r="K87" s="1" t="s">
        <v>9</v>
      </c>
      <c r="L87">
        <v>4</v>
      </c>
      <c r="M87">
        <v>86</v>
      </c>
      <c r="N87">
        <v>224000</v>
      </c>
      <c r="O87">
        <v>180000</v>
      </c>
      <c r="P87">
        <v>44000</v>
      </c>
      <c r="Q87">
        <v>0.1964285714285714</v>
      </c>
    </row>
    <row r="88" spans="1:17" x14ac:dyDescent="0.35">
      <c r="A88">
        <v>1068</v>
      </c>
      <c r="B88">
        <v>46151</v>
      </c>
      <c r="C88" s="1" t="s">
        <v>40</v>
      </c>
      <c r="D88" s="1" t="s">
        <v>31</v>
      </c>
      <c r="E88" s="1" t="s">
        <v>30</v>
      </c>
      <c r="F88">
        <v>10</v>
      </c>
      <c r="G88">
        <v>9500</v>
      </c>
      <c r="H88">
        <v>7100</v>
      </c>
      <c r="I88">
        <v>4</v>
      </c>
      <c r="J88" s="1" t="s">
        <v>47</v>
      </c>
      <c r="K88" s="1" t="s">
        <v>9</v>
      </c>
      <c r="L88">
        <v>13</v>
      </c>
      <c r="M88">
        <v>87</v>
      </c>
      <c r="N88">
        <v>95000</v>
      </c>
      <c r="O88">
        <v>71000</v>
      </c>
      <c r="P88">
        <v>24000</v>
      </c>
      <c r="Q88">
        <v>0.25263157894736837</v>
      </c>
    </row>
    <row r="89" spans="1:17" x14ac:dyDescent="0.35">
      <c r="A89">
        <v>1053</v>
      </c>
      <c r="B89">
        <v>46156</v>
      </c>
      <c r="C89" s="1" t="s">
        <v>40</v>
      </c>
      <c r="D89" s="1" t="s">
        <v>15</v>
      </c>
      <c r="E89" s="1" t="s">
        <v>16</v>
      </c>
      <c r="F89">
        <v>6</v>
      </c>
      <c r="G89">
        <v>52250</v>
      </c>
      <c r="H89">
        <v>46000</v>
      </c>
      <c r="I89">
        <v>14</v>
      </c>
      <c r="J89" s="1" t="s">
        <v>66</v>
      </c>
      <c r="K89" s="1" t="s">
        <v>8</v>
      </c>
      <c r="L89">
        <v>1</v>
      </c>
      <c r="M89">
        <v>88</v>
      </c>
      <c r="N89">
        <v>313500</v>
      </c>
      <c r="O89">
        <v>276000</v>
      </c>
      <c r="P89">
        <v>37500</v>
      </c>
      <c r="Q89">
        <v>0.1196172248803828</v>
      </c>
    </row>
    <row r="90" spans="1:17" x14ac:dyDescent="0.35">
      <c r="A90">
        <v>1053</v>
      </c>
      <c r="B90">
        <v>46156</v>
      </c>
      <c r="C90" s="1" t="s">
        <v>40</v>
      </c>
      <c r="D90" s="1" t="s">
        <v>24</v>
      </c>
      <c r="E90" s="1" t="s">
        <v>25</v>
      </c>
      <c r="F90">
        <v>8</v>
      </c>
      <c r="G90">
        <v>665</v>
      </c>
      <c r="H90">
        <v>400</v>
      </c>
      <c r="I90">
        <v>14</v>
      </c>
      <c r="J90" s="1" t="s">
        <v>66</v>
      </c>
      <c r="K90" s="1" t="s">
        <v>8</v>
      </c>
      <c r="L90">
        <v>8</v>
      </c>
      <c r="M90">
        <v>89</v>
      </c>
      <c r="N90">
        <v>5320</v>
      </c>
      <c r="O90">
        <v>3200</v>
      </c>
      <c r="P90">
        <v>2120</v>
      </c>
      <c r="Q90">
        <v>0.39849624060150368</v>
      </c>
    </row>
    <row r="91" spans="1:17" x14ac:dyDescent="0.35">
      <c r="A91">
        <v>1003</v>
      </c>
      <c r="B91">
        <v>46157</v>
      </c>
      <c r="C91" s="1" t="s">
        <v>65</v>
      </c>
      <c r="D91" s="1" t="s">
        <v>31</v>
      </c>
      <c r="E91" s="1" t="s">
        <v>30</v>
      </c>
      <c r="F91">
        <v>6</v>
      </c>
      <c r="G91">
        <v>9500</v>
      </c>
      <c r="H91">
        <v>7100</v>
      </c>
      <c r="I91">
        <v>33</v>
      </c>
      <c r="J91" s="1" t="s">
        <v>87</v>
      </c>
      <c r="K91" s="1" t="s">
        <v>8</v>
      </c>
      <c r="L91">
        <v>13</v>
      </c>
      <c r="M91">
        <v>90</v>
      </c>
      <c r="N91">
        <v>57000</v>
      </c>
      <c r="O91">
        <v>42600</v>
      </c>
      <c r="P91">
        <v>14400</v>
      </c>
      <c r="Q91">
        <v>0.25263157894736837</v>
      </c>
    </row>
    <row r="92" spans="1:17" x14ac:dyDescent="0.35">
      <c r="A92">
        <v>1003</v>
      </c>
      <c r="B92">
        <v>46157</v>
      </c>
      <c r="C92" s="1" t="s">
        <v>65</v>
      </c>
      <c r="D92" s="1" t="s">
        <v>20</v>
      </c>
      <c r="E92" s="1" t="s">
        <v>21</v>
      </c>
      <c r="F92">
        <v>10</v>
      </c>
      <c r="G92">
        <v>4500</v>
      </c>
      <c r="H92">
        <v>3000</v>
      </c>
      <c r="I92">
        <v>33</v>
      </c>
      <c r="J92" s="1" t="s">
        <v>87</v>
      </c>
      <c r="K92" s="1" t="s">
        <v>8</v>
      </c>
      <c r="L92">
        <v>5</v>
      </c>
      <c r="M92">
        <v>91</v>
      </c>
      <c r="N92">
        <v>45000</v>
      </c>
      <c r="O92">
        <v>30000</v>
      </c>
      <c r="P92">
        <v>15000</v>
      </c>
      <c r="Q92">
        <v>0.33333333333333331</v>
      </c>
    </row>
    <row r="93" spans="1:17" x14ac:dyDescent="0.35">
      <c r="A93">
        <v>1071</v>
      </c>
      <c r="B93">
        <v>46157</v>
      </c>
      <c r="C93" s="1" t="s">
        <v>40</v>
      </c>
      <c r="D93" s="1" t="s">
        <v>15</v>
      </c>
      <c r="E93" s="1" t="s">
        <v>16</v>
      </c>
      <c r="F93">
        <v>2</v>
      </c>
      <c r="G93">
        <v>52250</v>
      </c>
      <c r="H93">
        <v>46000</v>
      </c>
      <c r="I93">
        <v>11</v>
      </c>
      <c r="J93" s="1" t="s">
        <v>60</v>
      </c>
      <c r="K93" s="1" t="s">
        <v>8</v>
      </c>
      <c r="L93">
        <v>1</v>
      </c>
      <c r="M93">
        <v>92</v>
      </c>
      <c r="N93">
        <v>104500</v>
      </c>
      <c r="O93">
        <v>92000</v>
      </c>
      <c r="P93">
        <v>12500</v>
      </c>
      <c r="Q93">
        <v>0.1196172248803828</v>
      </c>
    </row>
    <row r="94" spans="1:17" x14ac:dyDescent="0.35">
      <c r="A94">
        <v>1071</v>
      </c>
      <c r="B94">
        <v>46157</v>
      </c>
      <c r="C94" s="1" t="s">
        <v>40</v>
      </c>
      <c r="D94" s="1" t="s">
        <v>26</v>
      </c>
      <c r="E94" s="1" t="s">
        <v>25</v>
      </c>
      <c r="F94">
        <v>12</v>
      </c>
      <c r="G94">
        <v>1500</v>
      </c>
      <c r="H94">
        <v>900</v>
      </c>
      <c r="I94">
        <v>11</v>
      </c>
      <c r="J94" s="1" t="s">
        <v>60</v>
      </c>
      <c r="K94" s="1" t="s">
        <v>8</v>
      </c>
      <c r="L94">
        <v>9</v>
      </c>
      <c r="M94">
        <v>93</v>
      </c>
      <c r="N94">
        <v>18000</v>
      </c>
      <c r="O94">
        <v>10800</v>
      </c>
      <c r="P94">
        <v>7200</v>
      </c>
      <c r="Q94">
        <v>0.4</v>
      </c>
    </row>
    <row r="95" spans="1:17" x14ac:dyDescent="0.35">
      <c r="A95">
        <v>1071</v>
      </c>
      <c r="B95">
        <v>46157</v>
      </c>
      <c r="C95" s="1" t="s">
        <v>40</v>
      </c>
      <c r="D95" s="1" t="s">
        <v>19</v>
      </c>
      <c r="E95" s="1" t="s">
        <v>16</v>
      </c>
      <c r="F95">
        <v>8</v>
      </c>
      <c r="G95">
        <v>28000</v>
      </c>
      <c r="H95">
        <v>22500</v>
      </c>
      <c r="I95">
        <v>11</v>
      </c>
      <c r="J95" s="1" t="s">
        <v>60</v>
      </c>
      <c r="K95" s="1" t="s">
        <v>8</v>
      </c>
      <c r="L95">
        <v>4</v>
      </c>
      <c r="M95">
        <v>94</v>
      </c>
      <c r="N95">
        <v>224000</v>
      </c>
      <c r="O95">
        <v>180000</v>
      </c>
      <c r="P95">
        <v>44000</v>
      </c>
      <c r="Q95">
        <v>0.1964285714285714</v>
      </c>
    </row>
    <row r="96" spans="1:17" x14ac:dyDescent="0.35">
      <c r="A96">
        <v>1093</v>
      </c>
      <c r="B96">
        <v>46158</v>
      </c>
      <c r="C96" s="1" t="s">
        <v>46</v>
      </c>
      <c r="D96" s="1" t="s">
        <v>29</v>
      </c>
      <c r="E96" s="1" t="s">
        <v>30</v>
      </c>
      <c r="F96">
        <v>8</v>
      </c>
      <c r="G96">
        <v>4800</v>
      </c>
      <c r="H96">
        <v>3400</v>
      </c>
      <c r="I96">
        <v>3</v>
      </c>
      <c r="J96" s="1" t="s">
        <v>44</v>
      </c>
      <c r="K96" s="1" t="s">
        <v>9</v>
      </c>
      <c r="L96">
        <v>12</v>
      </c>
      <c r="M96">
        <v>95</v>
      </c>
      <c r="N96">
        <v>38400</v>
      </c>
      <c r="O96">
        <v>27200</v>
      </c>
      <c r="P96">
        <v>11200</v>
      </c>
      <c r="Q96">
        <v>0.29166666666666669</v>
      </c>
    </row>
    <row r="97" spans="1:17" x14ac:dyDescent="0.35">
      <c r="A97">
        <v>1043</v>
      </c>
      <c r="B97">
        <v>46174</v>
      </c>
      <c r="C97" s="1" t="s">
        <v>40</v>
      </c>
      <c r="D97" s="1" t="s">
        <v>31</v>
      </c>
      <c r="E97" s="1" t="s">
        <v>30</v>
      </c>
      <c r="F97">
        <v>2</v>
      </c>
      <c r="G97">
        <v>9500</v>
      </c>
      <c r="H97">
        <v>7100</v>
      </c>
      <c r="I97">
        <v>14</v>
      </c>
      <c r="J97" s="1" t="s">
        <v>66</v>
      </c>
      <c r="K97" s="1" t="s">
        <v>11</v>
      </c>
      <c r="L97">
        <v>13</v>
      </c>
      <c r="M97">
        <v>96</v>
      </c>
      <c r="N97">
        <v>19000</v>
      </c>
      <c r="O97">
        <v>14200</v>
      </c>
      <c r="P97">
        <v>4800</v>
      </c>
      <c r="Q97">
        <v>0.25263157894736837</v>
      </c>
    </row>
    <row r="98" spans="1:17" x14ac:dyDescent="0.35">
      <c r="A98">
        <v>1043</v>
      </c>
      <c r="B98">
        <v>46174</v>
      </c>
      <c r="C98" s="1" t="s">
        <v>40</v>
      </c>
      <c r="D98" s="1" t="s">
        <v>15</v>
      </c>
      <c r="E98" s="1" t="s">
        <v>16</v>
      </c>
      <c r="F98">
        <v>4</v>
      </c>
      <c r="G98">
        <v>55000</v>
      </c>
      <c r="H98">
        <v>46000</v>
      </c>
      <c r="I98">
        <v>14</v>
      </c>
      <c r="J98" s="1" t="s">
        <v>66</v>
      </c>
      <c r="K98" s="1" t="s">
        <v>11</v>
      </c>
      <c r="L98">
        <v>1</v>
      </c>
      <c r="M98">
        <v>97</v>
      </c>
      <c r="N98">
        <v>220000</v>
      </c>
      <c r="O98">
        <v>184000</v>
      </c>
      <c r="P98">
        <v>36000</v>
      </c>
      <c r="Q98">
        <v>0.16363636363636361</v>
      </c>
    </row>
    <row r="99" spans="1:17" x14ac:dyDescent="0.35">
      <c r="A99">
        <v>1005</v>
      </c>
      <c r="B99">
        <v>46175</v>
      </c>
      <c r="C99" s="1" t="s">
        <v>65</v>
      </c>
      <c r="D99" s="1" t="s">
        <v>19</v>
      </c>
      <c r="E99" s="1" t="s">
        <v>16</v>
      </c>
      <c r="F99">
        <v>10</v>
      </c>
      <c r="G99">
        <v>28000</v>
      </c>
      <c r="H99">
        <v>22500</v>
      </c>
      <c r="I99">
        <v>33</v>
      </c>
      <c r="J99" s="1" t="s">
        <v>87</v>
      </c>
      <c r="K99" s="1" t="s">
        <v>9</v>
      </c>
      <c r="L99">
        <v>4</v>
      </c>
      <c r="M99">
        <v>98</v>
      </c>
      <c r="N99">
        <v>280000</v>
      </c>
      <c r="O99">
        <v>225000</v>
      </c>
      <c r="P99">
        <v>55000</v>
      </c>
      <c r="Q99">
        <v>0.1964285714285714</v>
      </c>
    </row>
    <row r="100" spans="1:17" x14ac:dyDescent="0.35">
      <c r="A100">
        <v>1005</v>
      </c>
      <c r="B100">
        <v>46175</v>
      </c>
      <c r="C100" s="1" t="s">
        <v>65</v>
      </c>
      <c r="D100" s="1" t="s">
        <v>20</v>
      </c>
      <c r="E100" s="1" t="s">
        <v>21</v>
      </c>
      <c r="F100">
        <v>8</v>
      </c>
      <c r="G100">
        <v>4500</v>
      </c>
      <c r="H100">
        <v>3000</v>
      </c>
      <c r="I100">
        <v>33</v>
      </c>
      <c r="J100" s="1" t="s">
        <v>87</v>
      </c>
      <c r="K100" s="1" t="s">
        <v>9</v>
      </c>
      <c r="L100">
        <v>5</v>
      </c>
      <c r="M100">
        <v>99</v>
      </c>
      <c r="N100">
        <v>36000</v>
      </c>
      <c r="O100">
        <v>24000</v>
      </c>
      <c r="P100">
        <v>12000</v>
      </c>
      <c r="Q100">
        <v>0.33333333333333331</v>
      </c>
    </row>
    <row r="101" spans="1:17" x14ac:dyDescent="0.35">
      <c r="A101">
        <v>1005</v>
      </c>
      <c r="B101">
        <v>46175</v>
      </c>
      <c r="C101" s="1" t="s">
        <v>65</v>
      </c>
      <c r="D101" s="1" t="s">
        <v>28</v>
      </c>
      <c r="E101" s="1" t="s">
        <v>25</v>
      </c>
      <c r="F101">
        <v>9</v>
      </c>
      <c r="G101">
        <v>3200</v>
      </c>
      <c r="H101">
        <v>2100</v>
      </c>
      <c r="I101">
        <v>33</v>
      </c>
      <c r="J101" s="1" t="s">
        <v>87</v>
      </c>
      <c r="K101" s="1" t="s">
        <v>9</v>
      </c>
      <c r="L101">
        <v>11</v>
      </c>
      <c r="M101">
        <v>100</v>
      </c>
      <c r="N101">
        <v>28800</v>
      </c>
      <c r="O101">
        <v>18900</v>
      </c>
      <c r="P101">
        <v>9900</v>
      </c>
      <c r="Q101">
        <v>0.34375</v>
      </c>
    </row>
    <row r="102" spans="1:17" x14ac:dyDescent="0.35">
      <c r="A102">
        <v>1010</v>
      </c>
      <c r="B102">
        <v>46180</v>
      </c>
      <c r="C102" s="1" t="s">
        <v>40</v>
      </c>
      <c r="D102" s="1" t="s">
        <v>29</v>
      </c>
      <c r="E102" s="1" t="s">
        <v>30</v>
      </c>
      <c r="F102">
        <v>6</v>
      </c>
      <c r="G102">
        <v>4800</v>
      </c>
      <c r="H102">
        <v>3400</v>
      </c>
      <c r="I102">
        <v>16</v>
      </c>
      <c r="J102" s="1" t="s">
        <v>67</v>
      </c>
      <c r="K102" s="1" t="s">
        <v>9</v>
      </c>
      <c r="L102">
        <v>12</v>
      </c>
      <c r="M102">
        <v>101</v>
      </c>
      <c r="N102">
        <v>28800</v>
      </c>
      <c r="O102">
        <v>20400</v>
      </c>
      <c r="P102">
        <v>8400</v>
      </c>
      <c r="Q102">
        <v>0.29166666666666669</v>
      </c>
    </row>
    <row r="103" spans="1:17" x14ac:dyDescent="0.35">
      <c r="A103">
        <v>1010</v>
      </c>
      <c r="B103">
        <v>46180</v>
      </c>
      <c r="C103" s="1" t="s">
        <v>40</v>
      </c>
      <c r="D103" s="1" t="s">
        <v>26</v>
      </c>
      <c r="E103" s="1" t="s">
        <v>25</v>
      </c>
      <c r="F103">
        <v>12</v>
      </c>
      <c r="G103">
        <v>1500</v>
      </c>
      <c r="H103">
        <v>900</v>
      </c>
      <c r="I103">
        <v>16</v>
      </c>
      <c r="J103" s="1" t="s">
        <v>67</v>
      </c>
      <c r="K103" s="1" t="s">
        <v>9</v>
      </c>
      <c r="L103">
        <v>9</v>
      </c>
      <c r="M103">
        <v>102</v>
      </c>
      <c r="N103">
        <v>18000</v>
      </c>
      <c r="O103">
        <v>10800</v>
      </c>
      <c r="P103">
        <v>7200</v>
      </c>
      <c r="Q103">
        <v>0.4</v>
      </c>
    </row>
    <row r="104" spans="1:17" x14ac:dyDescent="0.35">
      <c r="A104">
        <v>1054</v>
      </c>
      <c r="B104">
        <v>46183</v>
      </c>
      <c r="C104" s="1" t="s">
        <v>40</v>
      </c>
      <c r="D104" s="1" t="s">
        <v>20</v>
      </c>
      <c r="E104" s="1" t="s">
        <v>21</v>
      </c>
      <c r="F104">
        <v>4</v>
      </c>
      <c r="G104">
        <v>4050</v>
      </c>
      <c r="H104">
        <v>3000</v>
      </c>
      <c r="I104">
        <v>16</v>
      </c>
      <c r="J104" s="1" t="s">
        <v>67</v>
      </c>
      <c r="K104" s="1" t="s">
        <v>9</v>
      </c>
      <c r="L104">
        <v>5</v>
      </c>
      <c r="M104">
        <v>103</v>
      </c>
      <c r="N104">
        <v>16200</v>
      </c>
      <c r="O104">
        <v>12000</v>
      </c>
      <c r="P104">
        <v>4200</v>
      </c>
      <c r="Q104">
        <v>0.25925925925925919</v>
      </c>
    </row>
    <row r="105" spans="1:17" x14ac:dyDescent="0.35">
      <c r="A105">
        <v>1054</v>
      </c>
      <c r="B105">
        <v>46183</v>
      </c>
      <c r="C105" s="1" t="s">
        <v>40</v>
      </c>
      <c r="D105" s="1" t="s">
        <v>32</v>
      </c>
      <c r="E105" s="1" t="s">
        <v>33</v>
      </c>
      <c r="F105">
        <v>12</v>
      </c>
      <c r="G105">
        <v>6175</v>
      </c>
      <c r="H105">
        <v>4700</v>
      </c>
      <c r="I105">
        <v>16</v>
      </c>
      <c r="J105" s="1" t="s">
        <v>67</v>
      </c>
      <c r="K105" s="1" t="s">
        <v>9</v>
      </c>
      <c r="L105">
        <v>14</v>
      </c>
      <c r="M105">
        <v>104</v>
      </c>
      <c r="N105">
        <v>74100</v>
      </c>
      <c r="O105">
        <v>56400</v>
      </c>
      <c r="P105">
        <v>17700</v>
      </c>
      <c r="Q105">
        <v>0.23886639676113361</v>
      </c>
    </row>
    <row r="106" spans="1:17" x14ac:dyDescent="0.35">
      <c r="A106">
        <v>1095</v>
      </c>
      <c r="B106">
        <v>46183</v>
      </c>
      <c r="C106" s="1" t="s">
        <v>46</v>
      </c>
      <c r="D106" s="1" t="s">
        <v>17</v>
      </c>
      <c r="E106" s="1" t="s">
        <v>16</v>
      </c>
      <c r="F106">
        <v>9</v>
      </c>
      <c r="G106">
        <v>11400</v>
      </c>
      <c r="H106">
        <v>9500</v>
      </c>
      <c r="I106">
        <v>28</v>
      </c>
      <c r="J106" s="1" t="s">
        <v>66</v>
      </c>
      <c r="K106" s="1" t="s">
        <v>9</v>
      </c>
      <c r="L106">
        <v>2</v>
      </c>
      <c r="M106">
        <v>105</v>
      </c>
      <c r="N106">
        <v>102600</v>
      </c>
      <c r="O106">
        <v>85500</v>
      </c>
      <c r="P106">
        <v>17100</v>
      </c>
      <c r="Q106">
        <v>0.16666666666666671</v>
      </c>
    </row>
    <row r="107" spans="1:17" x14ac:dyDescent="0.35">
      <c r="A107">
        <v>1095</v>
      </c>
      <c r="B107">
        <v>46183</v>
      </c>
      <c r="C107" s="1" t="s">
        <v>46</v>
      </c>
      <c r="D107" s="1" t="s">
        <v>29</v>
      </c>
      <c r="E107" s="1" t="s">
        <v>30</v>
      </c>
      <c r="F107">
        <v>4</v>
      </c>
      <c r="G107">
        <v>4560</v>
      </c>
      <c r="H107">
        <v>3400</v>
      </c>
      <c r="I107">
        <v>28</v>
      </c>
      <c r="J107" s="1" t="s">
        <v>66</v>
      </c>
      <c r="K107" s="1" t="s">
        <v>9</v>
      </c>
      <c r="L107">
        <v>12</v>
      </c>
      <c r="M107">
        <v>106</v>
      </c>
      <c r="N107">
        <v>18240</v>
      </c>
      <c r="O107">
        <v>13600</v>
      </c>
      <c r="P107">
        <v>4640</v>
      </c>
      <c r="Q107">
        <v>0.25438596491228072</v>
      </c>
    </row>
    <row r="108" spans="1:17" x14ac:dyDescent="0.35">
      <c r="A108">
        <v>1070</v>
      </c>
      <c r="B108">
        <v>46193</v>
      </c>
      <c r="C108" s="1" t="s">
        <v>57</v>
      </c>
      <c r="D108" s="1" t="s">
        <v>24</v>
      </c>
      <c r="E108" s="1" t="s">
        <v>25</v>
      </c>
      <c r="F108">
        <v>10</v>
      </c>
      <c r="G108">
        <v>700</v>
      </c>
      <c r="H108">
        <v>400</v>
      </c>
      <c r="I108">
        <v>9</v>
      </c>
      <c r="J108" s="1" t="s">
        <v>55</v>
      </c>
      <c r="K108" s="1" t="s">
        <v>8</v>
      </c>
      <c r="L108">
        <v>8</v>
      </c>
      <c r="M108">
        <v>107</v>
      </c>
      <c r="N108">
        <v>7000</v>
      </c>
      <c r="O108">
        <v>4000</v>
      </c>
      <c r="P108">
        <v>3000</v>
      </c>
      <c r="Q108">
        <v>0.42857142857142849</v>
      </c>
    </row>
    <row r="109" spans="1:17" x14ac:dyDescent="0.35">
      <c r="A109">
        <v>1070</v>
      </c>
      <c r="B109">
        <v>46193</v>
      </c>
      <c r="C109" s="1" t="s">
        <v>57</v>
      </c>
      <c r="D109" s="1" t="s">
        <v>20</v>
      </c>
      <c r="E109" s="1" t="s">
        <v>21</v>
      </c>
      <c r="F109">
        <v>10</v>
      </c>
      <c r="G109">
        <v>4500</v>
      </c>
      <c r="H109">
        <v>3000</v>
      </c>
      <c r="I109">
        <v>9</v>
      </c>
      <c r="J109" s="1" t="s">
        <v>55</v>
      </c>
      <c r="K109" s="1" t="s">
        <v>8</v>
      </c>
      <c r="L109">
        <v>5</v>
      </c>
      <c r="M109">
        <v>108</v>
      </c>
      <c r="N109">
        <v>45000</v>
      </c>
      <c r="O109">
        <v>30000</v>
      </c>
      <c r="P109">
        <v>15000</v>
      </c>
      <c r="Q109">
        <v>0.33333333333333331</v>
      </c>
    </row>
    <row r="110" spans="1:17" x14ac:dyDescent="0.35">
      <c r="A110">
        <v>1070</v>
      </c>
      <c r="B110">
        <v>46193</v>
      </c>
      <c r="C110" s="1" t="s">
        <v>57</v>
      </c>
      <c r="D110" s="1" t="s">
        <v>29</v>
      </c>
      <c r="E110" s="1" t="s">
        <v>30</v>
      </c>
      <c r="F110">
        <v>2</v>
      </c>
      <c r="G110">
        <v>4560</v>
      </c>
      <c r="H110">
        <v>3400</v>
      </c>
      <c r="I110">
        <v>9</v>
      </c>
      <c r="J110" s="1" t="s">
        <v>55</v>
      </c>
      <c r="K110" s="1" t="s">
        <v>8</v>
      </c>
      <c r="L110">
        <v>12</v>
      </c>
      <c r="M110">
        <v>109</v>
      </c>
      <c r="N110">
        <v>9120</v>
      </c>
      <c r="O110">
        <v>6800</v>
      </c>
      <c r="P110">
        <v>2320</v>
      </c>
      <c r="Q110">
        <v>0.25438596491228072</v>
      </c>
    </row>
    <row r="111" spans="1:17" x14ac:dyDescent="0.35">
      <c r="A111">
        <v>1082</v>
      </c>
      <c r="B111">
        <v>46193</v>
      </c>
      <c r="C111" s="1" t="s">
        <v>43</v>
      </c>
      <c r="D111" s="1" t="s">
        <v>19</v>
      </c>
      <c r="E111" s="1" t="s">
        <v>16</v>
      </c>
      <c r="F111">
        <v>3</v>
      </c>
      <c r="G111">
        <v>28000</v>
      </c>
      <c r="H111">
        <v>22500</v>
      </c>
      <c r="I111">
        <v>27</v>
      </c>
      <c r="J111" s="1" t="s">
        <v>55</v>
      </c>
      <c r="K111" s="1" t="s">
        <v>10</v>
      </c>
      <c r="L111">
        <v>4</v>
      </c>
      <c r="M111">
        <v>110</v>
      </c>
      <c r="N111">
        <v>84000</v>
      </c>
      <c r="O111">
        <v>67500</v>
      </c>
      <c r="P111">
        <v>16500</v>
      </c>
      <c r="Q111">
        <v>0.1964285714285714</v>
      </c>
    </row>
    <row r="112" spans="1:17" x14ac:dyDescent="0.35">
      <c r="A112">
        <v>1082</v>
      </c>
      <c r="B112">
        <v>46193</v>
      </c>
      <c r="C112" s="1" t="s">
        <v>43</v>
      </c>
      <c r="D112" s="1" t="s">
        <v>22</v>
      </c>
      <c r="E112" s="1" t="s">
        <v>21</v>
      </c>
      <c r="F112">
        <v>1</v>
      </c>
      <c r="G112">
        <v>8500</v>
      </c>
      <c r="H112">
        <v>6200</v>
      </c>
      <c r="I112">
        <v>27</v>
      </c>
      <c r="J112" s="1" t="s">
        <v>55</v>
      </c>
      <c r="K112" s="1" t="s">
        <v>10</v>
      </c>
      <c r="L112">
        <v>6</v>
      </c>
      <c r="M112">
        <v>111</v>
      </c>
      <c r="N112">
        <v>8500</v>
      </c>
      <c r="O112">
        <v>6200</v>
      </c>
      <c r="P112">
        <v>2300</v>
      </c>
      <c r="Q112">
        <v>0.27058823529411757</v>
      </c>
    </row>
    <row r="113" spans="1:17" x14ac:dyDescent="0.35">
      <c r="A113">
        <v>1031</v>
      </c>
      <c r="B113">
        <v>46196</v>
      </c>
      <c r="C113" s="1" t="s">
        <v>43</v>
      </c>
      <c r="D113" s="1" t="s">
        <v>20</v>
      </c>
      <c r="E113" s="1" t="s">
        <v>21</v>
      </c>
      <c r="F113">
        <v>1</v>
      </c>
      <c r="G113">
        <v>4050</v>
      </c>
      <c r="H113">
        <v>3000</v>
      </c>
      <c r="I113">
        <v>7</v>
      </c>
      <c r="J113" s="1" t="s">
        <v>51</v>
      </c>
      <c r="K113" s="1" t="s">
        <v>9</v>
      </c>
      <c r="L113">
        <v>5</v>
      </c>
      <c r="M113">
        <v>112</v>
      </c>
      <c r="N113">
        <v>4050</v>
      </c>
      <c r="O113">
        <v>3000</v>
      </c>
      <c r="P113">
        <v>1050</v>
      </c>
      <c r="Q113">
        <v>0.25925925925925919</v>
      </c>
    </row>
    <row r="114" spans="1:17" x14ac:dyDescent="0.35">
      <c r="A114">
        <v>1059</v>
      </c>
      <c r="B114">
        <v>46201</v>
      </c>
      <c r="C114" s="1" t="s">
        <v>43</v>
      </c>
      <c r="D114" s="1" t="s">
        <v>20</v>
      </c>
      <c r="E114" s="1" t="s">
        <v>21</v>
      </c>
      <c r="F114">
        <v>11</v>
      </c>
      <c r="G114">
        <v>4500</v>
      </c>
      <c r="H114">
        <v>3000</v>
      </c>
      <c r="I114">
        <v>5</v>
      </c>
      <c r="J114" s="1" t="s">
        <v>49</v>
      </c>
      <c r="K114" s="1" t="s">
        <v>10</v>
      </c>
      <c r="L114">
        <v>5</v>
      </c>
      <c r="M114">
        <v>113</v>
      </c>
      <c r="N114">
        <v>49500</v>
      </c>
      <c r="O114">
        <v>33000</v>
      </c>
      <c r="P114">
        <v>16500</v>
      </c>
      <c r="Q114">
        <v>0.33333333333333331</v>
      </c>
    </row>
    <row r="115" spans="1:17" x14ac:dyDescent="0.35">
      <c r="A115">
        <v>1059</v>
      </c>
      <c r="B115">
        <v>46201</v>
      </c>
      <c r="C115" s="1" t="s">
        <v>43</v>
      </c>
      <c r="D115" s="1" t="s">
        <v>29</v>
      </c>
      <c r="E115" s="1" t="s">
        <v>30</v>
      </c>
      <c r="F115">
        <v>2</v>
      </c>
      <c r="G115">
        <v>4320</v>
      </c>
      <c r="H115">
        <v>3400</v>
      </c>
      <c r="I115">
        <v>5</v>
      </c>
      <c r="J115" s="1" t="s">
        <v>49</v>
      </c>
      <c r="K115" s="1" t="s">
        <v>10</v>
      </c>
      <c r="L115">
        <v>12</v>
      </c>
      <c r="M115">
        <v>114</v>
      </c>
      <c r="N115">
        <v>8640</v>
      </c>
      <c r="O115">
        <v>6800</v>
      </c>
      <c r="P115">
        <v>1840</v>
      </c>
      <c r="Q115">
        <v>0.21296296296296299</v>
      </c>
    </row>
    <row r="116" spans="1:17" x14ac:dyDescent="0.35">
      <c r="A116">
        <v>1059</v>
      </c>
      <c r="B116">
        <v>46201</v>
      </c>
      <c r="C116" s="1" t="s">
        <v>43</v>
      </c>
      <c r="D116" s="1" t="s">
        <v>18</v>
      </c>
      <c r="E116" s="1" t="s">
        <v>16</v>
      </c>
      <c r="F116">
        <v>10</v>
      </c>
      <c r="G116">
        <v>18000</v>
      </c>
      <c r="H116">
        <v>14500</v>
      </c>
      <c r="I116">
        <v>5</v>
      </c>
      <c r="J116" s="1" t="s">
        <v>49</v>
      </c>
      <c r="K116" s="1" t="s">
        <v>10</v>
      </c>
      <c r="L116">
        <v>3</v>
      </c>
      <c r="M116">
        <v>115</v>
      </c>
      <c r="N116">
        <v>180000</v>
      </c>
      <c r="O116">
        <v>145000</v>
      </c>
      <c r="P116">
        <v>35000</v>
      </c>
      <c r="Q116">
        <v>0.19444444444444439</v>
      </c>
    </row>
    <row r="117" spans="1:17" x14ac:dyDescent="0.35">
      <c r="A117">
        <v>1060</v>
      </c>
      <c r="B117">
        <v>46212</v>
      </c>
      <c r="C117" s="1" t="s">
        <v>43</v>
      </c>
      <c r="D117" s="1" t="s">
        <v>24</v>
      </c>
      <c r="E117" s="1" t="s">
        <v>25</v>
      </c>
      <c r="F117">
        <v>6</v>
      </c>
      <c r="G117">
        <v>665</v>
      </c>
      <c r="H117">
        <v>400</v>
      </c>
      <c r="I117">
        <v>19</v>
      </c>
      <c r="J117" s="1" t="s">
        <v>72</v>
      </c>
      <c r="K117" s="1" t="s">
        <v>9</v>
      </c>
      <c r="L117">
        <v>8</v>
      </c>
      <c r="M117">
        <v>116</v>
      </c>
      <c r="N117">
        <v>3990</v>
      </c>
      <c r="O117">
        <v>2400</v>
      </c>
      <c r="P117">
        <v>1590</v>
      </c>
      <c r="Q117">
        <v>0.39849624060150368</v>
      </c>
    </row>
    <row r="118" spans="1:17" x14ac:dyDescent="0.35">
      <c r="A118">
        <v>1060</v>
      </c>
      <c r="B118">
        <v>46212</v>
      </c>
      <c r="C118" s="1" t="s">
        <v>43</v>
      </c>
      <c r="D118" s="1" t="s">
        <v>32</v>
      </c>
      <c r="E118" s="1" t="s">
        <v>33</v>
      </c>
      <c r="F118">
        <v>1</v>
      </c>
      <c r="G118">
        <v>6500</v>
      </c>
      <c r="H118">
        <v>4700</v>
      </c>
      <c r="I118">
        <v>19</v>
      </c>
      <c r="J118" s="1" t="s">
        <v>72</v>
      </c>
      <c r="K118" s="1" t="s">
        <v>9</v>
      </c>
      <c r="L118">
        <v>14</v>
      </c>
      <c r="M118">
        <v>117</v>
      </c>
      <c r="N118">
        <v>6500</v>
      </c>
      <c r="O118">
        <v>4700</v>
      </c>
      <c r="P118">
        <v>1800</v>
      </c>
      <c r="Q118">
        <v>0.27692307692307688</v>
      </c>
    </row>
    <row r="119" spans="1:17" x14ac:dyDescent="0.35">
      <c r="A119">
        <v>1075</v>
      </c>
      <c r="B119">
        <v>46212</v>
      </c>
      <c r="C119" s="1" t="s">
        <v>57</v>
      </c>
      <c r="D119" s="1" t="s">
        <v>17</v>
      </c>
      <c r="E119" s="1" t="s">
        <v>16</v>
      </c>
      <c r="F119">
        <v>7</v>
      </c>
      <c r="G119">
        <v>12000</v>
      </c>
      <c r="H119">
        <v>9500</v>
      </c>
      <c r="I119">
        <v>10</v>
      </c>
      <c r="J119" s="1" t="s">
        <v>58</v>
      </c>
      <c r="K119" s="1" t="s">
        <v>9</v>
      </c>
      <c r="L119">
        <v>2</v>
      </c>
      <c r="M119">
        <v>118</v>
      </c>
      <c r="N119">
        <v>84000</v>
      </c>
      <c r="O119">
        <v>66500</v>
      </c>
      <c r="P119">
        <v>17500</v>
      </c>
      <c r="Q119">
        <v>0.20833333333333329</v>
      </c>
    </row>
    <row r="120" spans="1:17" x14ac:dyDescent="0.35">
      <c r="A120">
        <v>1075</v>
      </c>
      <c r="B120">
        <v>46212</v>
      </c>
      <c r="C120" s="1" t="s">
        <v>57</v>
      </c>
      <c r="D120" s="1" t="s">
        <v>32</v>
      </c>
      <c r="E120" s="1" t="s">
        <v>33</v>
      </c>
      <c r="F120">
        <v>2</v>
      </c>
      <c r="G120">
        <v>6500</v>
      </c>
      <c r="H120">
        <v>4700</v>
      </c>
      <c r="I120">
        <v>10</v>
      </c>
      <c r="J120" s="1" t="s">
        <v>58</v>
      </c>
      <c r="K120" s="1" t="s">
        <v>9</v>
      </c>
      <c r="L120">
        <v>14</v>
      </c>
      <c r="M120">
        <v>119</v>
      </c>
      <c r="N120">
        <v>13000</v>
      </c>
      <c r="O120">
        <v>9400</v>
      </c>
      <c r="P120">
        <v>3600</v>
      </c>
      <c r="Q120">
        <v>0.27692307692307688</v>
      </c>
    </row>
    <row r="121" spans="1:17" x14ac:dyDescent="0.35">
      <c r="A121">
        <v>1040</v>
      </c>
      <c r="B121">
        <v>46222</v>
      </c>
      <c r="C121" s="1" t="s">
        <v>40</v>
      </c>
      <c r="D121" s="1" t="s">
        <v>28</v>
      </c>
      <c r="E121" s="1" t="s">
        <v>25</v>
      </c>
      <c r="F121">
        <v>3</v>
      </c>
      <c r="G121">
        <v>3200</v>
      </c>
      <c r="H121">
        <v>2100</v>
      </c>
      <c r="I121">
        <v>17</v>
      </c>
      <c r="J121" s="1" t="s">
        <v>68</v>
      </c>
      <c r="K121" s="1" t="s">
        <v>11</v>
      </c>
      <c r="L121">
        <v>11</v>
      </c>
      <c r="M121">
        <v>120</v>
      </c>
      <c r="N121">
        <v>9600</v>
      </c>
      <c r="O121">
        <v>6300</v>
      </c>
      <c r="P121">
        <v>3300</v>
      </c>
      <c r="Q121">
        <v>0.34375</v>
      </c>
    </row>
    <row r="122" spans="1:17" x14ac:dyDescent="0.35">
      <c r="A122">
        <v>1040</v>
      </c>
      <c r="B122">
        <v>46222</v>
      </c>
      <c r="C122" s="1" t="s">
        <v>40</v>
      </c>
      <c r="D122" s="1" t="s">
        <v>15</v>
      </c>
      <c r="E122" s="1" t="s">
        <v>16</v>
      </c>
      <c r="F122">
        <v>5</v>
      </c>
      <c r="G122">
        <v>49500</v>
      </c>
      <c r="H122">
        <v>46000</v>
      </c>
      <c r="I122">
        <v>17</v>
      </c>
      <c r="J122" s="1" t="s">
        <v>68</v>
      </c>
      <c r="K122" s="1" t="s">
        <v>11</v>
      </c>
      <c r="L122">
        <v>1</v>
      </c>
      <c r="M122">
        <v>121</v>
      </c>
      <c r="N122">
        <v>247500</v>
      </c>
      <c r="O122">
        <v>230000</v>
      </c>
      <c r="P122">
        <v>17500</v>
      </c>
      <c r="Q122">
        <v>7.0707070707070704E-2</v>
      </c>
    </row>
    <row r="123" spans="1:17" x14ac:dyDescent="0.35">
      <c r="A123">
        <v>1040</v>
      </c>
      <c r="B123">
        <v>46222</v>
      </c>
      <c r="C123" s="1" t="s">
        <v>40</v>
      </c>
      <c r="D123" s="1" t="s">
        <v>18</v>
      </c>
      <c r="E123" s="1" t="s">
        <v>16</v>
      </c>
      <c r="F123">
        <v>4</v>
      </c>
      <c r="G123">
        <v>16200</v>
      </c>
      <c r="H123">
        <v>14500</v>
      </c>
      <c r="I123">
        <v>17</v>
      </c>
      <c r="J123" s="1" t="s">
        <v>68</v>
      </c>
      <c r="K123" s="1" t="s">
        <v>11</v>
      </c>
      <c r="L123">
        <v>3</v>
      </c>
      <c r="M123">
        <v>122</v>
      </c>
      <c r="N123">
        <v>64800</v>
      </c>
      <c r="O123">
        <v>58000</v>
      </c>
      <c r="P123">
        <v>6800</v>
      </c>
      <c r="Q123">
        <v>0.10493827160493829</v>
      </c>
    </row>
    <row r="124" spans="1:17" x14ac:dyDescent="0.35">
      <c r="A124">
        <v>1017</v>
      </c>
      <c r="B124">
        <v>46227</v>
      </c>
      <c r="C124" s="1" t="s">
        <v>57</v>
      </c>
      <c r="D124" s="1" t="s">
        <v>31</v>
      </c>
      <c r="E124" s="1" t="s">
        <v>30</v>
      </c>
      <c r="F124">
        <v>10</v>
      </c>
      <c r="G124">
        <v>9500</v>
      </c>
      <c r="H124">
        <v>7100</v>
      </c>
      <c r="I124">
        <v>24</v>
      </c>
      <c r="J124" s="1" t="s">
        <v>78</v>
      </c>
      <c r="K124" s="1" t="s">
        <v>9</v>
      </c>
      <c r="L124">
        <v>13</v>
      </c>
      <c r="M124">
        <v>123</v>
      </c>
      <c r="N124">
        <v>95000</v>
      </c>
      <c r="O124">
        <v>71000</v>
      </c>
      <c r="P124">
        <v>24000</v>
      </c>
      <c r="Q124">
        <v>0.25263157894736837</v>
      </c>
    </row>
    <row r="125" spans="1:17" x14ac:dyDescent="0.35">
      <c r="A125">
        <v>1017</v>
      </c>
      <c r="B125">
        <v>46227</v>
      </c>
      <c r="C125" s="1" t="s">
        <v>57</v>
      </c>
      <c r="D125" s="1" t="s">
        <v>23</v>
      </c>
      <c r="E125" s="1" t="s">
        <v>21</v>
      </c>
      <c r="F125">
        <v>4</v>
      </c>
      <c r="G125">
        <v>6200</v>
      </c>
      <c r="H125">
        <v>4300</v>
      </c>
      <c r="I125">
        <v>24</v>
      </c>
      <c r="J125" s="1" t="s">
        <v>78</v>
      </c>
      <c r="K125" s="1" t="s">
        <v>9</v>
      </c>
      <c r="L125">
        <v>7</v>
      </c>
      <c r="M125">
        <v>124</v>
      </c>
      <c r="N125">
        <v>24800</v>
      </c>
      <c r="O125">
        <v>17200</v>
      </c>
      <c r="P125">
        <v>7600</v>
      </c>
      <c r="Q125">
        <v>0.30645161290322581</v>
      </c>
    </row>
    <row r="126" spans="1:17" x14ac:dyDescent="0.35">
      <c r="A126">
        <v>1017</v>
      </c>
      <c r="B126">
        <v>46227</v>
      </c>
      <c r="C126" s="1" t="s">
        <v>57</v>
      </c>
      <c r="D126" s="1" t="s">
        <v>27</v>
      </c>
      <c r="E126" s="1" t="s">
        <v>25</v>
      </c>
      <c r="F126">
        <v>7</v>
      </c>
      <c r="G126">
        <v>2200</v>
      </c>
      <c r="H126">
        <v>1350</v>
      </c>
      <c r="I126">
        <v>24</v>
      </c>
      <c r="J126" s="1" t="s">
        <v>78</v>
      </c>
      <c r="K126" s="1" t="s">
        <v>9</v>
      </c>
      <c r="L126">
        <v>10</v>
      </c>
      <c r="M126">
        <v>125</v>
      </c>
      <c r="N126">
        <v>15400</v>
      </c>
      <c r="O126">
        <v>9450</v>
      </c>
      <c r="P126">
        <v>5950</v>
      </c>
      <c r="Q126">
        <v>0.38636363636363641</v>
      </c>
    </row>
    <row r="127" spans="1:17" x14ac:dyDescent="0.35">
      <c r="A127">
        <v>1029</v>
      </c>
      <c r="B127">
        <v>46233</v>
      </c>
      <c r="C127" s="1" t="s">
        <v>43</v>
      </c>
      <c r="D127" s="1" t="s">
        <v>20</v>
      </c>
      <c r="E127" s="1" t="s">
        <v>21</v>
      </c>
      <c r="F127">
        <v>7</v>
      </c>
      <c r="G127">
        <v>4500</v>
      </c>
      <c r="H127">
        <v>3000</v>
      </c>
      <c r="I127">
        <v>30</v>
      </c>
      <c r="J127" s="1" t="s">
        <v>84</v>
      </c>
      <c r="K127" s="1" t="s">
        <v>10</v>
      </c>
      <c r="L127">
        <v>5</v>
      </c>
      <c r="M127">
        <v>126</v>
      </c>
      <c r="N127">
        <v>31500</v>
      </c>
      <c r="O127">
        <v>21000</v>
      </c>
      <c r="P127">
        <v>10500</v>
      </c>
      <c r="Q127">
        <v>0.33333333333333331</v>
      </c>
    </row>
    <row r="128" spans="1:17" x14ac:dyDescent="0.35">
      <c r="A128">
        <v>1029</v>
      </c>
      <c r="B128">
        <v>46233</v>
      </c>
      <c r="C128" s="1" t="s">
        <v>43</v>
      </c>
      <c r="D128" s="1" t="s">
        <v>27</v>
      </c>
      <c r="E128" s="1" t="s">
        <v>25</v>
      </c>
      <c r="F128">
        <v>10</v>
      </c>
      <c r="G128">
        <v>2200</v>
      </c>
      <c r="H128">
        <v>1350</v>
      </c>
      <c r="I128">
        <v>30</v>
      </c>
      <c r="J128" s="1" t="s">
        <v>84</v>
      </c>
      <c r="K128" s="1" t="s">
        <v>10</v>
      </c>
      <c r="L128">
        <v>10</v>
      </c>
      <c r="M128">
        <v>127</v>
      </c>
      <c r="N128">
        <v>22000</v>
      </c>
      <c r="O128">
        <v>13500</v>
      </c>
      <c r="P128">
        <v>8500</v>
      </c>
      <c r="Q128">
        <v>0.38636363636363641</v>
      </c>
    </row>
    <row r="129" spans="1:17" x14ac:dyDescent="0.35">
      <c r="A129">
        <v>1069</v>
      </c>
      <c r="B129">
        <v>46239</v>
      </c>
      <c r="C129" s="1" t="s">
        <v>65</v>
      </c>
      <c r="D129" s="1" t="s">
        <v>27</v>
      </c>
      <c r="E129" s="1" t="s">
        <v>25</v>
      </c>
      <c r="F129">
        <v>12</v>
      </c>
      <c r="G129">
        <v>1980</v>
      </c>
      <c r="H129">
        <v>1350</v>
      </c>
      <c r="I129">
        <v>18</v>
      </c>
      <c r="J129" s="1" t="s">
        <v>70</v>
      </c>
      <c r="K129" s="1" t="s">
        <v>9</v>
      </c>
      <c r="L129">
        <v>10</v>
      </c>
      <c r="M129">
        <v>128</v>
      </c>
      <c r="N129">
        <v>23760</v>
      </c>
      <c r="O129">
        <v>16200</v>
      </c>
      <c r="P129">
        <v>7560</v>
      </c>
      <c r="Q129">
        <v>0.31818181818181818</v>
      </c>
    </row>
    <row r="130" spans="1:17" x14ac:dyDescent="0.35">
      <c r="A130">
        <v>1094</v>
      </c>
      <c r="B130">
        <v>46245</v>
      </c>
      <c r="C130" s="1" t="s">
        <v>57</v>
      </c>
      <c r="D130" s="1" t="s">
        <v>28</v>
      </c>
      <c r="E130" s="1" t="s">
        <v>25</v>
      </c>
      <c r="F130">
        <v>4</v>
      </c>
      <c r="G130">
        <v>3200</v>
      </c>
      <c r="H130">
        <v>2100</v>
      </c>
      <c r="I130">
        <v>23</v>
      </c>
      <c r="J130" s="1" t="s">
        <v>76</v>
      </c>
      <c r="K130" s="1" t="s">
        <v>8</v>
      </c>
      <c r="L130">
        <v>11</v>
      </c>
      <c r="M130">
        <v>129</v>
      </c>
      <c r="N130">
        <v>12800</v>
      </c>
      <c r="O130">
        <v>8400</v>
      </c>
      <c r="P130">
        <v>4400</v>
      </c>
      <c r="Q130">
        <v>0.34375</v>
      </c>
    </row>
    <row r="131" spans="1:17" x14ac:dyDescent="0.35">
      <c r="A131">
        <v>1002</v>
      </c>
      <c r="B131">
        <v>46255</v>
      </c>
      <c r="C131" s="1" t="s">
        <v>40</v>
      </c>
      <c r="D131" s="1" t="s">
        <v>17</v>
      </c>
      <c r="E131" s="1" t="s">
        <v>16</v>
      </c>
      <c r="F131">
        <v>3</v>
      </c>
      <c r="G131">
        <v>12000</v>
      </c>
      <c r="H131">
        <v>9500</v>
      </c>
      <c r="I131">
        <v>1</v>
      </c>
      <c r="J131" s="1" t="s">
        <v>38</v>
      </c>
      <c r="K131" s="1" t="s">
        <v>11</v>
      </c>
      <c r="L131">
        <v>2</v>
      </c>
      <c r="M131">
        <v>130</v>
      </c>
      <c r="N131">
        <v>36000</v>
      </c>
      <c r="O131">
        <v>28500</v>
      </c>
      <c r="P131">
        <v>7500</v>
      </c>
      <c r="Q131">
        <v>0.20833333333333329</v>
      </c>
    </row>
    <row r="132" spans="1:17" x14ac:dyDescent="0.35">
      <c r="A132">
        <v>1002</v>
      </c>
      <c r="B132">
        <v>46255</v>
      </c>
      <c r="C132" s="1" t="s">
        <v>40</v>
      </c>
      <c r="D132" s="1" t="s">
        <v>18</v>
      </c>
      <c r="E132" s="1" t="s">
        <v>16</v>
      </c>
      <c r="F132">
        <v>2</v>
      </c>
      <c r="G132">
        <v>17100</v>
      </c>
      <c r="H132">
        <v>14500</v>
      </c>
      <c r="I132">
        <v>1</v>
      </c>
      <c r="J132" s="1" t="s">
        <v>38</v>
      </c>
      <c r="K132" s="1" t="s">
        <v>11</v>
      </c>
      <c r="L132">
        <v>3</v>
      </c>
      <c r="M132">
        <v>131</v>
      </c>
      <c r="N132">
        <v>34200</v>
      </c>
      <c r="O132">
        <v>29000</v>
      </c>
      <c r="P132">
        <v>5200</v>
      </c>
      <c r="Q132">
        <v>0.15204678362573101</v>
      </c>
    </row>
    <row r="133" spans="1:17" x14ac:dyDescent="0.35">
      <c r="A133">
        <v>1002</v>
      </c>
      <c r="B133">
        <v>46255</v>
      </c>
      <c r="C133" s="1" t="s">
        <v>40</v>
      </c>
      <c r="D133" s="1" t="s">
        <v>19</v>
      </c>
      <c r="E133" s="1" t="s">
        <v>16</v>
      </c>
      <c r="F133">
        <v>1</v>
      </c>
      <c r="G133">
        <v>28000</v>
      </c>
      <c r="H133">
        <v>22500</v>
      </c>
      <c r="I133">
        <v>1</v>
      </c>
      <c r="J133" s="1" t="s">
        <v>38</v>
      </c>
      <c r="K133" s="1" t="s">
        <v>11</v>
      </c>
      <c r="L133">
        <v>4</v>
      </c>
      <c r="M133">
        <v>132</v>
      </c>
      <c r="N133">
        <v>28000</v>
      </c>
      <c r="O133">
        <v>22500</v>
      </c>
      <c r="P133">
        <v>5500</v>
      </c>
      <c r="Q133">
        <v>0.1964285714285714</v>
      </c>
    </row>
    <row r="134" spans="1:17" x14ac:dyDescent="0.35">
      <c r="A134">
        <v>1041</v>
      </c>
      <c r="B134">
        <v>46255</v>
      </c>
      <c r="C134" s="1" t="s">
        <v>43</v>
      </c>
      <c r="D134" s="1" t="s">
        <v>29</v>
      </c>
      <c r="E134" s="1" t="s">
        <v>30</v>
      </c>
      <c r="F134">
        <v>8</v>
      </c>
      <c r="G134">
        <v>4800</v>
      </c>
      <c r="H134">
        <v>3400</v>
      </c>
      <c r="I134">
        <v>19</v>
      </c>
      <c r="J134" s="1" t="s">
        <v>72</v>
      </c>
      <c r="K134" s="1" t="s">
        <v>9</v>
      </c>
      <c r="L134">
        <v>12</v>
      </c>
      <c r="M134">
        <v>133</v>
      </c>
      <c r="N134">
        <v>38400</v>
      </c>
      <c r="O134">
        <v>27200</v>
      </c>
      <c r="P134">
        <v>11200</v>
      </c>
      <c r="Q134">
        <v>0.29166666666666669</v>
      </c>
    </row>
    <row r="135" spans="1:17" x14ac:dyDescent="0.35">
      <c r="A135">
        <v>1041</v>
      </c>
      <c r="B135">
        <v>46255</v>
      </c>
      <c r="C135" s="1" t="s">
        <v>43</v>
      </c>
      <c r="D135" s="1" t="s">
        <v>27</v>
      </c>
      <c r="E135" s="1" t="s">
        <v>25</v>
      </c>
      <c r="F135">
        <v>1</v>
      </c>
      <c r="G135">
        <v>2090</v>
      </c>
      <c r="H135">
        <v>1350</v>
      </c>
      <c r="I135">
        <v>19</v>
      </c>
      <c r="J135" s="1" t="s">
        <v>72</v>
      </c>
      <c r="K135" s="1" t="s">
        <v>9</v>
      </c>
      <c r="L135">
        <v>10</v>
      </c>
      <c r="M135">
        <v>134</v>
      </c>
      <c r="N135">
        <v>2090</v>
      </c>
      <c r="O135">
        <v>1350</v>
      </c>
      <c r="P135">
        <v>740</v>
      </c>
      <c r="Q135">
        <v>0.35406698564593297</v>
      </c>
    </row>
    <row r="136" spans="1:17" x14ac:dyDescent="0.35">
      <c r="A136">
        <v>1086</v>
      </c>
      <c r="B136">
        <v>46258</v>
      </c>
      <c r="C136" s="1" t="s">
        <v>57</v>
      </c>
      <c r="D136" s="1" t="s">
        <v>29</v>
      </c>
      <c r="E136" s="1" t="s">
        <v>30</v>
      </c>
      <c r="F136">
        <v>12</v>
      </c>
      <c r="G136">
        <v>4800</v>
      </c>
      <c r="H136">
        <v>3400</v>
      </c>
      <c r="I136">
        <v>23</v>
      </c>
      <c r="J136" s="1" t="s">
        <v>76</v>
      </c>
      <c r="K136" s="1" t="s">
        <v>9</v>
      </c>
      <c r="L136">
        <v>12</v>
      </c>
      <c r="M136">
        <v>135</v>
      </c>
      <c r="N136">
        <v>57600</v>
      </c>
      <c r="O136">
        <v>40800</v>
      </c>
      <c r="P136">
        <v>16800</v>
      </c>
      <c r="Q136">
        <v>0.29166666666666669</v>
      </c>
    </row>
    <row r="137" spans="1:17" x14ac:dyDescent="0.35">
      <c r="A137">
        <v>1086</v>
      </c>
      <c r="B137">
        <v>46258</v>
      </c>
      <c r="C137" s="1" t="s">
        <v>57</v>
      </c>
      <c r="D137" s="1" t="s">
        <v>20</v>
      </c>
      <c r="E137" s="1" t="s">
        <v>21</v>
      </c>
      <c r="F137">
        <v>2</v>
      </c>
      <c r="G137">
        <v>4275</v>
      </c>
      <c r="H137">
        <v>3000</v>
      </c>
      <c r="I137">
        <v>23</v>
      </c>
      <c r="J137" s="1" t="s">
        <v>76</v>
      </c>
      <c r="K137" s="1" t="s">
        <v>9</v>
      </c>
      <c r="L137">
        <v>5</v>
      </c>
      <c r="M137">
        <v>136</v>
      </c>
      <c r="N137">
        <v>8550</v>
      </c>
      <c r="O137">
        <v>6000</v>
      </c>
      <c r="P137">
        <v>2550</v>
      </c>
      <c r="Q137">
        <v>0.2982456140350877</v>
      </c>
    </row>
    <row r="138" spans="1:17" x14ac:dyDescent="0.35">
      <c r="A138">
        <v>1027</v>
      </c>
      <c r="B138">
        <v>46265</v>
      </c>
      <c r="C138" s="1" t="s">
        <v>43</v>
      </c>
      <c r="D138" s="1" t="s">
        <v>31</v>
      </c>
      <c r="E138" s="1" t="s">
        <v>30</v>
      </c>
      <c r="F138">
        <v>11</v>
      </c>
      <c r="G138">
        <v>9500</v>
      </c>
      <c r="H138">
        <v>7100</v>
      </c>
      <c r="I138">
        <v>27</v>
      </c>
      <c r="J138" s="1" t="s">
        <v>55</v>
      </c>
      <c r="K138" s="1" t="s">
        <v>9</v>
      </c>
      <c r="L138">
        <v>13</v>
      </c>
      <c r="M138">
        <v>137</v>
      </c>
      <c r="N138">
        <v>104500</v>
      </c>
      <c r="O138">
        <v>78100</v>
      </c>
      <c r="P138">
        <v>26400</v>
      </c>
      <c r="Q138">
        <v>0.25263157894736837</v>
      </c>
    </row>
    <row r="139" spans="1:17" x14ac:dyDescent="0.35">
      <c r="A139">
        <v>1027</v>
      </c>
      <c r="B139">
        <v>46265</v>
      </c>
      <c r="C139" s="1" t="s">
        <v>43</v>
      </c>
      <c r="D139" s="1" t="s">
        <v>32</v>
      </c>
      <c r="E139" s="1" t="s">
        <v>33</v>
      </c>
      <c r="F139">
        <v>11</v>
      </c>
      <c r="G139">
        <v>6175</v>
      </c>
      <c r="H139">
        <v>4700</v>
      </c>
      <c r="I139">
        <v>27</v>
      </c>
      <c r="J139" s="1" t="s">
        <v>55</v>
      </c>
      <c r="K139" s="1" t="s">
        <v>9</v>
      </c>
      <c r="L139">
        <v>14</v>
      </c>
      <c r="M139">
        <v>138</v>
      </c>
      <c r="N139">
        <v>67925</v>
      </c>
      <c r="O139">
        <v>51700</v>
      </c>
      <c r="P139">
        <v>16225</v>
      </c>
      <c r="Q139">
        <v>0.23886639676113361</v>
      </c>
    </row>
    <row r="140" spans="1:17" x14ac:dyDescent="0.35">
      <c r="A140">
        <v>1014</v>
      </c>
      <c r="B140">
        <v>46266</v>
      </c>
      <c r="C140" s="1" t="s">
        <v>40</v>
      </c>
      <c r="D140" s="1" t="s">
        <v>17</v>
      </c>
      <c r="E140" s="1" t="s">
        <v>16</v>
      </c>
      <c r="F140">
        <v>4</v>
      </c>
      <c r="G140">
        <v>11400</v>
      </c>
      <c r="H140">
        <v>9500</v>
      </c>
      <c r="I140">
        <v>11</v>
      </c>
      <c r="J140" s="1" t="s">
        <v>60</v>
      </c>
      <c r="K140" s="1" t="s">
        <v>9</v>
      </c>
      <c r="L140">
        <v>2</v>
      </c>
      <c r="M140">
        <v>139</v>
      </c>
      <c r="N140">
        <v>45600</v>
      </c>
      <c r="O140">
        <v>38000</v>
      </c>
      <c r="P140">
        <v>7600</v>
      </c>
      <c r="Q140">
        <v>0.16666666666666671</v>
      </c>
    </row>
    <row r="141" spans="1:17" x14ac:dyDescent="0.35">
      <c r="A141">
        <v>1014</v>
      </c>
      <c r="B141">
        <v>46266</v>
      </c>
      <c r="C141" s="1" t="s">
        <v>40</v>
      </c>
      <c r="D141" s="1" t="s">
        <v>26</v>
      </c>
      <c r="E141" s="1" t="s">
        <v>25</v>
      </c>
      <c r="F141">
        <v>5</v>
      </c>
      <c r="G141">
        <v>1425</v>
      </c>
      <c r="H141">
        <v>900</v>
      </c>
      <c r="I141">
        <v>11</v>
      </c>
      <c r="J141" s="1" t="s">
        <v>60</v>
      </c>
      <c r="K141" s="1" t="s">
        <v>9</v>
      </c>
      <c r="L141">
        <v>9</v>
      </c>
      <c r="M141">
        <v>140</v>
      </c>
      <c r="N141">
        <v>7125</v>
      </c>
      <c r="O141">
        <v>4500</v>
      </c>
      <c r="P141">
        <v>2625</v>
      </c>
      <c r="Q141">
        <v>0.36842105263157893</v>
      </c>
    </row>
    <row r="142" spans="1:17" x14ac:dyDescent="0.35">
      <c r="A142">
        <v>1038</v>
      </c>
      <c r="B142">
        <v>46269</v>
      </c>
      <c r="C142" s="1" t="s">
        <v>40</v>
      </c>
      <c r="D142" s="1" t="s">
        <v>15</v>
      </c>
      <c r="E142" s="1" t="s">
        <v>16</v>
      </c>
      <c r="F142">
        <v>3</v>
      </c>
      <c r="G142">
        <v>55000</v>
      </c>
      <c r="H142">
        <v>46000</v>
      </c>
      <c r="I142">
        <v>14</v>
      </c>
      <c r="J142" s="1" t="s">
        <v>66</v>
      </c>
      <c r="K142" s="1" t="s">
        <v>10</v>
      </c>
      <c r="L142">
        <v>1</v>
      </c>
      <c r="M142">
        <v>141</v>
      </c>
      <c r="N142">
        <v>165000</v>
      </c>
      <c r="O142">
        <v>138000</v>
      </c>
      <c r="P142">
        <v>27000</v>
      </c>
      <c r="Q142">
        <v>0.16363636363636361</v>
      </c>
    </row>
    <row r="143" spans="1:17" x14ac:dyDescent="0.35">
      <c r="A143">
        <v>1012</v>
      </c>
      <c r="B143">
        <v>46271</v>
      </c>
      <c r="C143" s="1" t="s">
        <v>43</v>
      </c>
      <c r="D143" s="1" t="s">
        <v>29</v>
      </c>
      <c r="E143" s="1" t="s">
        <v>30</v>
      </c>
      <c r="F143">
        <v>8</v>
      </c>
      <c r="G143">
        <v>4320</v>
      </c>
      <c r="H143">
        <v>3400</v>
      </c>
      <c r="I143">
        <v>5</v>
      </c>
      <c r="J143" s="1" t="s">
        <v>49</v>
      </c>
      <c r="K143" s="1" t="s">
        <v>11</v>
      </c>
      <c r="L143">
        <v>12</v>
      </c>
      <c r="M143">
        <v>142</v>
      </c>
      <c r="N143">
        <v>34560</v>
      </c>
      <c r="O143">
        <v>27200</v>
      </c>
      <c r="P143">
        <v>7360</v>
      </c>
      <c r="Q143">
        <v>0.21296296296296299</v>
      </c>
    </row>
    <row r="144" spans="1:17" x14ac:dyDescent="0.35">
      <c r="A144">
        <v>1012</v>
      </c>
      <c r="B144">
        <v>46271</v>
      </c>
      <c r="C144" s="1" t="s">
        <v>43</v>
      </c>
      <c r="D144" s="1" t="s">
        <v>27</v>
      </c>
      <c r="E144" s="1" t="s">
        <v>25</v>
      </c>
      <c r="F144">
        <v>8</v>
      </c>
      <c r="G144">
        <v>2200</v>
      </c>
      <c r="H144">
        <v>1350</v>
      </c>
      <c r="I144">
        <v>5</v>
      </c>
      <c r="J144" s="1" t="s">
        <v>49</v>
      </c>
      <c r="K144" s="1" t="s">
        <v>11</v>
      </c>
      <c r="L144">
        <v>10</v>
      </c>
      <c r="M144">
        <v>143</v>
      </c>
      <c r="N144">
        <v>17600</v>
      </c>
      <c r="O144">
        <v>10800</v>
      </c>
      <c r="P144">
        <v>6800</v>
      </c>
      <c r="Q144">
        <v>0.38636363636363641</v>
      </c>
    </row>
    <row r="145" spans="1:17" x14ac:dyDescent="0.35">
      <c r="A145">
        <v>1012</v>
      </c>
      <c r="B145">
        <v>46271</v>
      </c>
      <c r="C145" s="1" t="s">
        <v>43</v>
      </c>
      <c r="D145" s="1" t="s">
        <v>20</v>
      </c>
      <c r="E145" s="1" t="s">
        <v>21</v>
      </c>
      <c r="F145">
        <v>12</v>
      </c>
      <c r="G145">
        <v>4500</v>
      </c>
      <c r="H145">
        <v>3000</v>
      </c>
      <c r="I145">
        <v>5</v>
      </c>
      <c r="J145" s="1" t="s">
        <v>49</v>
      </c>
      <c r="K145" s="1" t="s">
        <v>11</v>
      </c>
      <c r="L145">
        <v>5</v>
      </c>
      <c r="M145">
        <v>144</v>
      </c>
      <c r="N145">
        <v>54000</v>
      </c>
      <c r="O145">
        <v>36000</v>
      </c>
      <c r="P145">
        <v>18000</v>
      </c>
      <c r="Q145">
        <v>0.33333333333333331</v>
      </c>
    </row>
    <row r="146" spans="1:17" x14ac:dyDescent="0.35">
      <c r="A146">
        <v>1046</v>
      </c>
      <c r="B146">
        <v>46280</v>
      </c>
      <c r="C146" s="1" t="s">
        <v>46</v>
      </c>
      <c r="D146" s="1" t="s">
        <v>26</v>
      </c>
      <c r="E146" s="1" t="s">
        <v>25</v>
      </c>
      <c r="F146">
        <v>8</v>
      </c>
      <c r="G146">
        <v>1500</v>
      </c>
      <c r="H146">
        <v>900</v>
      </c>
      <c r="I146">
        <v>34</v>
      </c>
      <c r="J146" s="1" t="s">
        <v>88</v>
      </c>
      <c r="K146" s="1" t="s">
        <v>9</v>
      </c>
      <c r="L146">
        <v>9</v>
      </c>
      <c r="M146">
        <v>145</v>
      </c>
      <c r="N146">
        <v>12000</v>
      </c>
      <c r="O146">
        <v>7200</v>
      </c>
      <c r="P146">
        <v>4800</v>
      </c>
      <c r="Q146">
        <v>0.4</v>
      </c>
    </row>
    <row r="147" spans="1:17" x14ac:dyDescent="0.35">
      <c r="A147">
        <v>1046</v>
      </c>
      <c r="B147">
        <v>46280</v>
      </c>
      <c r="C147" s="1" t="s">
        <v>46</v>
      </c>
      <c r="D147" s="1" t="s">
        <v>32</v>
      </c>
      <c r="E147" s="1" t="s">
        <v>33</v>
      </c>
      <c r="F147">
        <v>2</v>
      </c>
      <c r="G147">
        <v>6500</v>
      </c>
      <c r="H147">
        <v>4700</v>
      </c>
      <c r="I147">
        <v>34</v>
      </c>
      <c r="J147" s="1" t="s">
        <v>88</v>
      </c>
      <c r="K147" s="1" t="s">
        <v>9</v>
      </c>
      <c r="L147">
        <v>14</v>
      </c>
      <c r="M147">
        <v>146</v>
      </c>
      <c r="N147">
        <v>13000</v>
      </c>
      <c r="O147">
        <v>9400</v>
      </c>
      <c r="P147">
        <v>3600</v>
      </c>
      <c r="Q147">
        <v>0.27692307692307688</v>
      </c>
    </row>
    <row r="148" spans="1:17" x14ac:dyDescent="0.35">
      <c r="A148">
        <v>1004</v>
      </c>
      <c r="B148">
        <v>46282</v>
      </c>
      <c r="C148" s="1" t="s">
        <v>43</v>
      </c>
      <c r="D148" s="1" t="s">
        <v>23</v>
      </c>
      <c r="E148" s="1" t="s">
        <v>21</v>
      </c>
      <c r="F148">
        <v>12</v>
      </c>
      <c r="G148">
        <v>6200</v>
      </c>
      <c r="H148">
        <v>4300</v>
      </c>
      <c r="I148">
        <v>7</v>
      </c>
      <c r="J148" s="1" t="s">
        <v>51</v>
      </c>
      <c r="K148" s="1" t="s">
        <v>10</v>
      </c>
      <c r="L148">
        <v>7</v>
      </c>
      <c r="M148">
        <v>147</v>
      </c>
      <c r="N148">
        <v>74400</v>
      </c>
      <c r="O148">
        <v>51600</v>
      </c>
      <c r="P148">
        <v>22800</v>
      </c>
      <c r="Q148">
        <v>0.30645161290322581</v>
      </c>
    </row>
    <row r="149" spans="1:17" x14ac:dyDescent="0.35">
      <c r="A149">
        <v>1047</v>
      </c>
      <c r="B149">
        <v>46283</v>
      </c>
      <c r="C149" s="1" t="s">
        <v>46</v>
      </c>
      <c r="D149" s="1" t="s">
        <v>20</v>
      </c>
      <c r="E149" s="1" t="s">
        <v>21</v>
      </c>
      <c r="F149">
        <v>4</v>
      </c>
      <c r="G149">
        <v>4500</v>
      </c>
      <c r="H149">
        <v>3000</v>
      </c>
      <c r="I149">
        <v>6</v>
      </c>
      <c r="J149" s="1" t="s">
        <v>50</v>
      </c>
      <c r="K149" s="1" t="s">
        <v>10</v>
      </c>
      <c r="L149">
        <v>5</v>
      </c>
      <c r="M149">
        <v>148</v>
      </c>
      <c r="N149">
        <v>18000</v>
      </c>
      <c r="O149">
        <v>12000</v>
      </c>
      <c r="P149">
        <v>6000</v>
      </c>
      <c r="Q149">
        <v>0.33333333333333331</v>
      </c>
    </row>
    <row r="150" spans="1:17" x14ac:dyDescent="0.35">
      <c r="A150">
        <v>1047</v>
      </c>
      <c r="B150">
        <v>46283</v>
      </c>
      <c r="C150" s="1" t="s">
        <v>46</v>
      </c>
      <c r="D150" s="1" t="s">
        <v>15</v>
      </c>
      <c r="E150" s="1" t="s">
        <v>16</v>
      </c>
      <c r="F150">
        <v>10</v>
      </c>
      <c r="G150">
        <v>49500</v>
      </c>
      <c r="H150">
        <v>46000</v>
      </c>
      <c r="I150">
        <v>6</v>
      </c>
      <c r="J150" s="1" t="s">
        <v>50</v>
      </c>
      <c r="K150" s="1" t="s">
        <v>10</v>
      </c>
      <c r="L150">
        <v>1</v>
      </c>
      <c r="M150">
        <v>149</v>
      </c>
      <c r="N150">
        <v>495000</v>
      </c>
      <c r="O150">
        <v>460000</v>
      </c>
      <c r="P150">
        <v>35000</v>
      </c>
      <c r="Q150">
        <v>7.0707070707070704E-2</v>
      </c>
    </row>
    <row r="151" spans="1:17" x14ac:dyDescent="0.35">
      <c r="A151">
        <v>1047</v>
      </c>
      <c r="B151">
        <v>46283</v>
      </c>
      <c r="C151" s="1" t="s">
        <v>46</v>
      </c>
      <c r="D151" s="1" t="s">
        <v>17</v>
      </c>
      <c r="E151" s="1" t="s">
        <v>16</v>
      </c>
      <c r="F151">
        <v>11</v>
      </c>
      <c r="G151">
        <v>12000</v>
      </c>
      <c r="H151">
        <v>9500</v>
      </c>
      <c r="I151">
        <v>6</v>
      </c>
      <c r="J151" s="1" t="s">
        <v>50</v>
      </c>
      <c r="K151" s="1" t="s">
        <v>10</v>
      </c>
      <c r="L151">
        <v>2</v>
      </c>
      <c r="M151">
        <v>150</v>
      </c>
      <c r="N151">
        <v>132000</v>
      </c>
      <c r="O151">
        <v>104500</v>
      </c>
      <c r="P151">
        <v>27500</v>
      </c>
      <c r="Q151">
        <v>0.20833333333333329</v>
      </c>
    </row>
    <row r="152" spans="1:17" x14ac:dyDescent="0.35">
      <c r="A152">
        <v>1090</v>
      </c>
      <c r="B152">
        <v>46283</v>
      </c>
      <c r="C152" s="1" t="s">
        <v>43</v>
      </c>
      <c r="D152" s="1" t="s">
        <v>15</v>
      </c>
      <c r="E152" s="1" t="s">
        <v>16</v>
      </c>
      <c r="F152">
        <v>8</v>
      </c>
      <c r="G152">
        <v>55000</v>
      </c>
      <c r="H152">
        <v>46000</v>
      </c>
      <c r="I152">
        <v>26</v>
      </c>
      <c r="J152" s="1" t="s">
        <v>80</v>
      </c>
      <c r="K152" s="1" t="s">
        <v>8</v>
      </c>
      <c r="L152">
        <v>1</v>
      </c>
      <c r="M152">
        <v>151</v>
      </c>
      <c r="N152">
        <v>440000</v>
      </c>
      <c r="O152">
        <v>368000</v>
      </c>
      <c r="P152">
        <v>72000</v>
      </c>
      <c r="Q152">
        <v>0.16363636363636361</v>
      </c>
    </row>
    <row r="153" spans="1:17" x14ac:dyDescent="0.35">
      <c r="A153">
        <v>1090</v>
      </c>
      <c r="B153">
        <v>46283</v>
      </c>
      <c r="C153" s="1" t="s">
        <v>43</v>
      </c>
      <c r="D153" s="1" t="s">
        <v>31</v>
      </c>
      <c r="E153" s="1" t="s">
        <v>30</v>
      </c>
      <c r="F153">
        <v>11</v>
      </c>
      <c r="G153">
        <v>9500</v>
      </c>
      <c r="H153">
        <v>7100</v>
      </c>
      <c r="I153">
        <v>26</v>
      </c>
      <c r="J153" s="1" t="s">
        <v>80</v>
      </c>
      <c r="K153" s="1" t="s">
        <v>8</v>
      </c>
      <c r="L153">
        <v>13</v>
      </c>
      <c r="M153">
        <v>152</v>
      </c>
      <c r="N153">
        <v>104500</v>
      </c>
      <c r="O153">
        <v>78100</v>
      </c>
      <c r="P153">
        <v>26400</v>
      </c>
      <c r="Q153">
        <v>0.25263157894736837</v>
      </c>
    </row>
    <row r="154" spans="1:17" x14ac:dyDescent="0.35">
      <c r="A154">
        <v>1090</v>
      </c>
      <c r="B154">
        <v>46283</v>
      </c>
      <c r="C154" s="1" t="s">
        <v>43</v>
      </c>
      <c r="D154" s="1" t="s">
        <v>18</v>
      </c>
      <c r="E154" s="1" t="s">
        <v>16</v>
      </c>
      <c r="F154">
        <v>5</v>
      </c>
      <c r="G154">
        <v>17100</v>
      </c>
      <c r="H154">
        <v>14500</v>
      </c>
      <c r="I154">
        <v>26</v>
      </c>
      <c r="J154" s="1" t="s">
        <v>80</v>
      </c>
      <c r="K154" s="1" t="s">
        <v>8</v>
      </c>
      <c r="L154">
        <v>3</v>
      </c>
      <c r="M154">
        <v>153</v>
      </c>
      <c r="N154">
        <v>85500</v>
      </c>
      <c r="O154">
        <v>72500</v>
      </c>
      <c r="P154">
        <v>13000</v>
      </c>
      <c r="Q154">
        <v>0.15204678362573101</v>
      </c>
    </row>
    <row r="155" spans="1:17" x14ac:dyDescent="0.35">
      <c r="A155">
        <v>1096</v>
      </c>
      <c r="B155">
        <v>46284</v>
      </c>
      <c r="C155" s="1" t="s">
        <v>40</v>
      </c>
      <c r="D155" s="1" t="s">
        <v>23</v>
      </c>
      <c r="E155" s="1" t="s">
        <v>21</v>
      </c>
      <c r="F155">
        <v>2</v>
      </c>
      <c r="G155">
        <v>6200</v>
      </c>
      <c r="H155">
        <v>4300</v>
      </c>
      <c r="I155">
        <v>8</v>
      </c>
      <c r="J155" s="1" t="s">
        <v>53</v>
      </c>
      <c r="K155" s="1" t="s">
        <v>9</v>
      </c>
      <c r="L155">
        <v>7</v>
      </c>
      <c r="M155">
        <v>154</v>
      </c>
      <c r="N155">
        <v>12400</v>
      </c>
      <c r="O155">
        <v>8600</v>
      </c>
      <c r="P155">
        <v>3800</v>
      </c>
      <c r="Q155">
        <v>0.30645161290322581</v>
      </c>
    </row>
    <row r="156" spans="1:17" x14ac:dyDescent="0.35">
      <c r="A156">
        <v>1096</v>
      </c>
      <c r="B156">
        <v>46284</v>
      </c>
      <c r="C156" s="1" t="s">
        <v>40</v>
      </c>
      <c r="D156" s="1" t="s">
        <v>28</v>
      </c>
      <c r="E156" s="1" t="s">
        <v>25</v>
      </c>
      <c r="F156">
        <v>6</v>
      </c>
      <c r="G156">
        <v>3200</v>
      </c>
      <c r="H156">
        <v>2100</v>
      </c>
      <c r="I156">
        <v>8</v>
      </c>
      <c r="J156" s="1" t="s">
        <v>53</v>
      </c>
      <c r="K156" s="1" t="s">
        <v>9</v>
      </c>
      <c r="L156">
        <v>11</v>
      </c>
      <c r="M156">
        <v>155</v>
      </c>
      <c r="N156">
        <v>19200</v>
      </c>
      <c r="O156">
        <v>12600</v>
      </c>
      <c r="P156">
        <v>6600</v>
      </c>
      <c r="Q156">
        <v>0.34375</v>
      </c>
    </row>
    <row r="157" spans="1:17" x14ac:dyDescent="0.35">
      <c r="A157">
        <v>1096</v>
      </c>
      <c r="B157">
        <v>46284</v>
      </c>
      <c r="C157" s="1" t="s">
        <v>40</v>
      </c>
      <c r="D157" s="1" t="s">
        <v>24</v>
      </c>
      <c r="E157" s="1" t="s">
        <v>25</v>
      </c>
      <c r="F157">
        <v>6</v>
      </c>
      <c r="G157">
        <v>700</v>
      </c>
      <c r="H157">
        <v>400</v>
      </c>
      <c r="I157">
        <v>8</v>
      </c>
      <c r="J157" s="1" t="s">
        <v>53</v>
      </c>
      <c r="K157" s="1" t="s">
        <v>9</v>
      </c>
      <c r="L157">
        <v>8</v>
      </c>
      <c r="M157">
        <v>156</v>
      </c>
      <c r="N157">
        <v>4200</v>
      </c>
      <c r="O157">
        <v>2400</v>
      </c>
      <c r="P157">
        <v>1800</v>
      </c>
      <c r="Q157">
        <v>0.42857142857142849</v>
      </c>
    </row>
    <row r="158" spans="1:17" x14ac:dyDescent="0.35">
      <c r="A158">
        <v>1018</v>
      </c>
      <c r="B158">
        <v>46287</v>
      </c>
      <c r="C158" s="1" t="s">
        <v>46</v>
      </c>
      <c r="D158" s="1" t="s">
        <v>17</v>
      </c>
      <c r="E158" s="1" t="s">
        <v>16</v>
      </c>
      <c r="F158">
        <v>7</v>
      </c>
      <c r="G158">
        <v>12000</v>
      </c>
      <c r="H158">
        <v>9500</v>
      </c>
      <c r="I158">
        <v>29</v>
      </c>
      <c r="J158" s="1" t="s">
        <v>82</v>
      </c>
      <c r="K158" s="1" t="s">
        <v>9</v>
      </c>
      <c r="L158">
        <v>2</v>
      </c>
      <c r="M158">
        <v>157</v>
      </c>
      <c r="N158">
        <v>84000</v>
      </c>
      <c r="O158">
        <v>66500</v>
      </c>
      <c r="P158">
        <v>17500</v>
      </c>
      <c r="Q158">
        <v>0.20833333333333329</v>
      </c>
    </row>
    <row r="159" spans="1:17" x14ac:dyDescent="0.35">
      <c r="A159">
        <v>1018</v>
      </c>
      <c r="B159">
        <v>46287</v>
      </c>
      <c r="C159" s="1" t="s">
        <v>46</v>
      </c>
      <c r="D159" s="1" t="s">
        <v>18</v>
      </c>
      <c r="E159" s="1" t="s">
        <v>16</v>
      </c>
      <c r="F159">
        <v>5</v>
      </c>
      <c r="G159">
        <v>18000</v>
      </c>
      <c r="H159">
        <v>14500</v>
      </c>
      <c r="I159">
        <v>29</v>
      </c>
      <c r="J159" s="1" t="s">
        <v>82</v>
      </c>
      <c r="K159" s="1" t="s">
        <v>9</v>
      </c>
      <c r="L159">
        <v>3</v>
      </c>
      <c r="M159">
        <v>158</v>
      </c>
      <c r="N159">
        <v>90000</v>
      </c>
      <c r="O159">
        <v>72500</v>
      </c>
      <c r="P159">
        <v>17500</v>
      </c>
      <c r="Q159">
        <v>0.19444444444444439</v>
      </c>
    </row>
    <row r="160" spans="1:17" x14ac:dyDescent="0.35">
      <c r="A160">
        <v>1018</v>
      </c>
      <c r="B160">
        <v>46287</v>
      </c>
      <c r="C160" s="1" t="s">
        <v>46</v>
      </c>
      <c r="D160" s="1" t="s">
        <v>22</v>
      </c>
      <c r="E160" s="1" t="s">
        <v>21</v>
      </c>
      <c r="F160">
        <v>9</v>
      </c>
      <c r="G160">
        <v>7650</v>
      </c>
      <c r="H160">
        <v>6200</v>
      </c>
      <c r="I160">
        <v>29</v>
      </c>
      <c r="J160" s="1" t="s">
        <v>82</v>
      </c>
      <c r="K160" s="1" t="s">
        <v>9</v>
      </c>
      <c r="L160">
        <v>6</v>
      </c>
      <c r="M160">
        <v>159</v>
      </c>
      <c r="N160">
        <v>68850</v>
      </c>
      <c r="O160">
        <v>55800</v>
      </c>
      <c r="P160">
        <v>13050</v>
      </c>
      <c r="Q160">
        <v>0.18954248366013071</v>
      </c>
    </row>
    <row r="161" spans="1:17" x14ac:dyDescent="0.35">
      <c r="A161">
        <v>1013</v>
      </c>
      <c r="B161">
        <v>46295</v>
      </c>
      <c r="C161" s="1" t="s">
        <v>57</v>
      </c>
      <c r="D161" s="1" t="s">
        <v>17</v>
      </c>
      <c r="E161" s="1" t="s">
        <v>16</v>
      </c>
      <c r="F161">
        <v>5</v>
      </c>
      <c r="G161">
        <v>12000</v>
      </c>
      <c r="H161">
        <v>9500</v>
      </c>
      <c r="I161">
        <v>9</v>
      </c>
      <c r="J161" s="1" t="s">
        <v>55</v>
      </c>
      <c r="K161" s="1" t="s">
        <v>9</v>
      </c>
      <c r="L161">
        <v>2</v>
      </c>
      <c r="M161">
        <v>160</v>
      </c>
      <c r="N161">
        <v>60000</v>
      </c>
      <c r="O161">
        <v>47500</v>
      </c>
      <c r="P161">
        <v>12500</v>
      </c>
      <c r="Q161">
        <v>0.20833333333333329</v>
      </c>
    </row>
    <row r="162" spans="1:17" x14ac:dyDescent="0.35">
      <c r="A162">
        <v>1013</v>
      </c>
      <c r="B162">
        <v>46295</v>
      </c>
      <c r="C162" s="1" t="s">
        <v>57</v>
      </c>
      <c r="D162" s="1" t="s">
        <v>22</v>
      </c>
      <c r="E162" s="1" t="s">
        <v>21</v>
      </c>
      <c r="F162">
        <v>2</v>
      </c>
      <c r="G162">
        <v>8500</v>
      </c>
      <c r="H162">
        <v>6200</v>
      </c>
      <c r="I162">
        <v>9</v>
      </c>
      <c r="J162" s="1" t="s">
        <v>55</v>
      </c>
      <c r="K162" s="1" t="s">
        <v>9</v>
      </c>
      <c r="L162">
        <v>6</v>
      </c>
      <c r="M162">
        <v>161</v>
      </c>
      <c r="N162">
        <v>17000</v>
      </c>
      <c r="O162">
        <v>12400</v>
      </c>
      <c r="P162">
        <v>4600</v>
      </c>
      <c r="Q162">
        <v>0.27058823529411757</v>
      </c>
    </row>
    <row r="163" spans="1:17" x14ac:dyDescent="0.35">
      <c r="A163">
        <v>1091</v>
      </c>
      <c r="B163">
        <v>46297</v>
      </c>
      <c r="C163" s="1" t="s">
        <v>65</v>
      </c>
      <c r="D163" s="1" t="s">
        <v>32</v>
      </c>
      <c r="E163" s="1" t="s">
        <v>33</v>
      </c>
      <c r="F163">
        <v>9</v>
      </c>
      <c r="G163">
        <v>6500</v>
      </c>
      <c r="H163">
        <v>4700</v>
      </c>
      <c r="I163">
        <v>22</v>
      </c>
      <c r="J163" s="1" t="s">
        <v>74</v>
      </c>
      <c r="K163" s="1" t="s">
        <v>11</v>
      </c>
      <c r="L163">
        <v>14</v>
      </c>
      <c r="M163">
        <v>162</v>
      </c>
      <c r="N163">
        <v>58500</v>
      </c>
      <c r="O163">
        <v>42300</v>
      </c>
      <c r="P163">
        <v>16200</v>
      </c>
      <c r="Q163">
        <v>0.27692307692307688</v>
      </c>
    </row>
    <row r="164" spans="1:17" x14ac:dyDescent="0.35">
      <c r="A164">
        <v>1091</v>
      </c>
      <c r="B164">
        <v>46297</v>
      </c>
      <c r="C164" s="1" t="s">
        <v>65</v>
      </c>
      <c r="D164" s="1" t="s">
        <v>15</v>
      </c>
      <c r="E164" s="1" t="s">
        <v>16</v>
      </c>
      <c r="F164">
        <v>7</v>
      </c>
      <c r="G164">
        <v>49500</v>
      </c>
      <c r="H164">
        <v>46000</v>
      </c>
      <c r="I164">
        <v>22</v>
      </c>
      <c r="J164" s="1" t="s">
        <v>74</v>
      </c>
      <c r="K164" s="1" t="s">
        <v>11</v>
      </c>
      <c r="L164">
        <v>1</v>
      </c>
      <c r="M164">
        <v>163</v>
      </c>
      <c r="N164">
        <v>346500</v>
      </c>
      <c r="O164">
        <v>322000</v>
      </c>
      <c r="P164">
        <v>24500</v>
      </c>
      <c r="Q164">
        <v>7.0707070707070704E-2</v>
      </c>
    </row>
    <row r="165" spans="1:17" x14ac:dyDescent="0.35">
      <c r="A165">
        <v>1091</v>
      </c>
      <c r="B165">
        <v>46297</v>
      </c>
      <c r="C165" s="1" t="s">
        <v>65</v>
      </c>
      <c r="D165" s="1" t="s">
        <v>28</v>
      </c>
      <c r="E165" s="1" t="s">
        <v>25</v>
      </c>
      <c r="F165">
        <v>4</v>
      </c>
      <c r="G165">
        <v>3200</v>
      </c>
      <c r="H165">
        <v>2100</v>
      </c>
      <c r="I165">
        <v>22</v>
      </c>
      <c r="J165" s="1" t="s">
        <v>74</v>
      </c>
      <c r="K165" s="1" t="s">
        <v>11</v>
      </c>
      <c r="L165">
        <v>11</v>
      </c>
      <c r="M165">
        <v>164</v>
      </c>
      <c r="N165">
        <v>12800</v>
      </c>
      <c r="O165">
        <v>8400</v>
      </c>
      <c r="P165">
        <v>4400</v>
      </c>
      <c r="Q165">
        <v>0.34375</v>
      </c>
    </row>
    <row r="166" spans="1:17" x14ac:dyDescent="0.35">
      <c r="A166">
        <v>1099</v>
      </c>
      <c r="B166">
        <v>46298</v>
      </c>
      <c r="C166" s="1" t="s">
        <v>65</v>
      </c>
      <c r="D166" s="1" t="s">
        <v>27</v>
      </c>
      <c r="E166" s="1" t="s">
        <v>25</v>
      </c>
      <c r="F166">
        <v>8</v>
      </c>
      <c r="G166">
        <v>2200</v>
      </c>
      <c r="H166">
        <v>1350</v>
      </c>
      <c r="I166">
        <v>13</v>
      </c>
      <c r="J166" s="1" t="s">
        <v>63</v>
      </c>
      <c r="K166" s="1" t="s">
        <v>9</v>
      </c>
      <c r="L166">
        <v>10</v>
      </c>
      <c r="M166">
        <v>165</v>
      </c>
      <c r="N166">
        <v>17600</v>
      </c>
      <c r="O166">
        <v>10800</v>
      </c>
      <c r="P166">
        <v>6800</v>
      </c>
      <c r="Q166">
        <v>0.38636363636363641</v>
      </c>
    </row>
    <row r="167" spans="1:17" x14ac:dyDescent="0.35">
      <c r="A167">
        <v>1099</v>
      </c>
      <c r="B167">
        <v>46298</v>
      </c>
      <c r="C167" s="1" t="s">
        <v>65</v>
      </c>
      <c r="D167" s="1" t="s">
        <v>31</v>
      </c>
      <c r="E167" s="1" t="s">
        <v>30</v>
      </c>
      <c r="F167">
        <v>1</v>
      </c>
      <c r="G167">
        <v>9025</v>
      </c>
      <c r="H167">
        <v>7100</v>
      </c>
      <c r="I167">
        <v>13</v>
      </c>
      <c r="J167" s="1" t="s">
        <v>63</v>
      </c>
      <c r="K167" s="1" t="s">
        <v>9</v>
      </c>
      <c r="L167">
        <v>13</v>
      </c>
      <c r="M167">
        <v>166</v>
      </c>
      <c r="N167">
        <v>9025</v>
      </c>
      <c r="O167">
        <v>7100</v>
      </c>
      <c r="P167">
        <v>1925</v>
      </c>
      <c r="Q167">
        <v>0.21329639889196669</v>
      </c>
    </row>
    <row r="168" spans="1:17" x14ac:dyDescent="0.35">
      <c r="A168">
        <v>1007</v>
      </c>
      <c r="B168">
        <v>46299</v>
      </c>
      <c r="C168" s="1" t="s">
        <v>46</v>
      </c>
      <c r="D168" s="1" t="s">
        <v>26</v>
      </c>
      <c r="E168" s="1" t="s">
        <v>25</v>
      </c>
      <c r="F168">
        <v>5</v>
      </c>
      <c r="G168">
        <v>1500</v>
      </c>
      <c r="H168">
        <v>900</v>
      </c>
      <c r="I168">
        <v>34</v>
      </c>
      <c r="J168" s="1" t="s">
        <v>88</v>
      </c>
      <c r="K168" s="1" t="s">
        <v>10</v>
      </c>
      <c r="L168">
        <v>9</v>
      </c>
      <c r="M168">
        <v>167</v>
      </c>
      <c r="N168">
        <v>7500</v>
      </c>
      <c r="O168">
        <v>4500</v>
      </c>
      <c r="P168">
        <v>3000</v>
      </c>
      <c r="Q168">
        <v>0.4</v>
      </c>
    </row>
    <row r="169" spans="1:17" x14ac:dyDescent="0.35">
      <c r="A169">
        <v>1007</v>
      </c>
      <c r="B169">
        <v>46299</v>
      </c>
      <c r="C169" s="1" t="s">
        <v>46</v>
      </c>
      <c r="D169" s="1" t="s">
        <v>18</v>
      </c>
      <c r="E169" s="1" t="s">
        <v>16</v>
      </c>
      <c r="F169">
        <v>12</v>
      </c>
      <c r="G169">
        <v>18000</v>
      </c>
      <c r="H169">
        <v>14500</v>
      </c>
      <c r="I169">
        <v>34</v>
      </c>
      <c r="J169" s="1" t="s">
        <v>88</v>
      </c>
      <c r="K169" s="1" t="s">
        <v>10</v>
      </c>
      <c r="L169">
        <v>3</v>
      </c>
      <c r="M169">
        <v>168</v>
      </c>
      <c r="N169">
        <v>216000</v>
      </c>
      <c r="O169">
        <v>174000</v>
      </c>
      <c r="P169">
        <v>42000</v>
      </c>
      <c r="Q169">
        <v>0.19444444444444439</v>
      </c>
    </row>
    <row r="170" spans="1:17" x14ac:dyDescent="0.35">
      <c r="A170">
        <v>1016</v>
      </c>
      <c r="B170">
        <v>46299</v>
      </c>
      <c r="C170" s="1" t="s">
        <v>65</v>
      </c>
      <c r="D170" s="1" t="s">
        <v>15</v>
      </c>
      <c r="E170" s="1" t="s">
        <v>16</v>
      </c>
      <c r="F170">
        <v>11</v>
      </c>
      <c r="G170">
        <v>55000</v>
      </c>
      <c r="H170">
        <v>46000</v>
      </c>
      <c r="I170">
        <v>13</v>
      </c>
      <c r="J170" s="1" t="s">
        <v>63</v>
      </c>
      <c r="K170" s="1" t="s">
        <v>8</v>
      </c>
      <c r="L170">
        <v>1</v>
      </c>
      <c r="M170">
        <v>169</v>
      </c>
      <c r="N170">
        <v>605000</v>
      </c>
      <c r="O170">
        <v>506000</v>
      </c>
      <c r="P170">
        <v>99000</v>
      </c>
      <c r="Q170">
        <v>0.16363636363636361</v>
      </c>
    </row>
    <row r="171" spans="1:17" x14ac:dyDescent="0.35">
      <c r="A171">
        <v>1036</v>
      </c>
      <c r="B171">
        <v>46299</v>
      </c>
      <c r="C171" s="1" t="s">
        <v>40</v>
      </c>
      <c r="D171" s="1" t="s">
        <v>29</v>
      </c>
      <c r="E171" s="1" t="s">
        <v>30</v>
      </c>
      <c r="F171">
        <v>3</v>
      </c>
      <c r="G171">
        <v>4800</v>
      </c>
      <c r="H171">
        <v>3400</v>
      </c>
      <c r="I171">
        <v>1</v>
      </c>
      <c r="J171" s="1" t="s">
        <v>38</v>
      </c>
      <c r="K171" s="1" t="s">
        <v>11</v>
      </c>
      <c r="L171">
        <v>12</v>
      </c>
      <c r="M171">
        <v>170</v>
      </c>
      <c r="N171">
        <v>14400</v>
      </c>
      <c r="O171">
        <v>10200</v>
      </c>
      <c r="P171">
        <v>4200</v>
      </c>
      <c r="Q171">
        <v>0.29166666666666669</v>
      </c>
    </row>
    <row r="172" spans="1:17" x14ac:dyDescent="0.35">
      <c r="A172">
        <v>1061</v>
      </c>
      <c r="B172">
        <v>46301</v>
      </c>
      <c r="C172" s="1" t="s">
        <v>57</v>
      </c>
      <c r="D172" s="1" t="s">
        <v>15</v>
      </c>
      <c r="E172" s="1" t="s">
        <v>16</v>
      </c>
      <c r="F172">
        <v>2</v>
      </c>
      <c r="G172">
        <v>52250</v>
      </c>
      <c r="H172">
        <v>46000</v>
      </c>
      <c r="I172">
        <v>20</v>
      </c>
      <c r="J172" s="1" t="s">
        <v>44</v>
      </c>
      <c r="K172" s="1" t="s">
        <v>9</v>
      </c>
      <c r="L172">
        <v>1</v>
      </c>
      <c r="M172">
        <v>171</v>
      </c>
      <c r="N172">
        <v>104500</v>
      </c>
      <c r="O172">
        <v>92000</v>
      </c>
      <c r="P172">
        <v>12500</v>
      </c>
      <c r="Q172">
        <v>0.1196172248803828</v>
      </c>
    </row>
    <row r="173" spans="1:17" x14ac:dyDescent="0.35">
      <c r="A173">
        <v>1061</v>
      </c>
      <c r="B173">
        <v>46301</v>
      </c>
      <c r="C173" s="1" t="s">
        <v>57</v>
      </c>
      <c r="D173" s="1" t="s">
        <v>26</v>
      </c>
      <c r="E173" s="1" t="s">
        <v>25</v>
      </c>
      <c r="F173">
        <v>2</v>
      </c>
      <c r="G173">
        <v>1500</v>
      </c>
      <c r="H173">
        <v>900</v>
      </c>
      <c r="I173">
        <v>20</v>
      </c>
      <c r="J173" s="1" t="s">
        <v>44</v>
      </c>
      <c r="K173" s="1" t="s">
        <v>9</v>
      </c>
      <c r="L173">
        <v>9</v>
      </c>
      <c r="M173">
        <v>172</v>
      </c>
      <c r="N173">
        <v>3000</v>
      </c>
      <c r="O173">
        <v>1800</v>
      </c>
      <c r="P173">
        <v>1200</v>
      </c>
      <c r="Q173">
        <v>0.4</v>
      </c>
    </row>
    <row r="174" spans="1:17" x14ac:dyDescent="0.35">
      <c r="A174">
        <v>1061</v>
      </c>
      <c r="B174">
        <v>46301</v>
      </c>
      <c r="C174" s="1" t="s">
        <v>57</v>
      </c>
      <c r="D174" s="1" t="s">
        <v>23</v>
      </c>
      <c r="E174" s="1" t="s">
        <v>21</v>
      </c>
      <c r="F174">
        <v>2</v>
      </c>
      <c r="G174">
        <v>5890</v>
      </c>
      <c r="H174">
        <v>4300</v>
      </c>
      <c r="I174">
        <v>20</v>
      </c>
      <c r="J174" s="1" t="s">
        <v>44</v>
      </c>
      <c r="K174" s="1" t="s">
        <v>9</v>
      </c>
      <c r="L174">
        <v>7</v>
      </c>
      <c r="M174">
        <v>173</v>
      </c>
      <c r="N174">
        <v>11780</v>
      </c>
      <c r="O174">
        <v>8600</v>
      </c>
      <c r="P174">
        <v>3180</v>
      </c>
      <c r="Q174">
        <v>0.2699490662139219</v>
      </c>
    </row>
    <row r="175" spans="1:17" x14ac:dyDescent="0.35">
      <c r="A175">
        <v>1035</v>
      </c>
      <c r="B175">
        <v>46304</v>
      </c>
      <c r="C175" s="1" t="s">
        <v>43</v>
      </c>
      <c r="D175" s="1" t="s">
        <v>29</v>
      </c>
      <c r="E175" s="1" t="s">
        <v>30</v>
      </c>
      <c r="F175">
        <v>9</v>
      </c>
      <c r="G175">
        <v>4800</v>
      </c>
      <c r="H175">
        <v>3400</v>
      </c>
      <c r="I175">
        <v>7</v>
      </c>
      <c r="J175" s="1" t="s">
        <v>51</v>
      </c>
      <c r="K175" s="1" t="s">
        <v>9</v>
      </c>
      <c r="L175">
        <v>12</v>
      </c>
      <c r="M175">
        <v>174</v>
      </c>
      <c r="N175">
        <v>43200</v>
      </c>
      <c r="O175">
        <v>30600</v>
      </c>
      <c r="P175">
        <v>12600</v>
      </c>
      <c r="Q175">
        <v>0.29166666666666669</v>
      </c>
    </row>
    <row r="176" spans="1:17" x14ac:dyDescent="0.35">
      <c r="A176">
        <v>1035</v>
      </c>
      <c r="B176">
        <v>46304</v>
      </c>
      <c r="C176" s="1" t="s">
        <v>43</v>
      </c>
      <c r="D176" s="1" t="s">
        <v>20</v>
      </c>
      <c r="E176" s="1" t="s">
        <v>21</v>
      </c>
      <c r="F176">
        <v>7</v>
      </c>
      <c r="G176">
        <v>4500</v>
      </c>
      <c r="H176">
        <v>3000</v>
      </c>
      <c r="I176">
        <v>7</v>
      </c>
      <c r="J176" s="1" t="s">
        <v>51</v>
      </c>
      <c r="K176" s="1" t="s">
        <v>9</v>
      </c>
      <c r="L176">
        <v>5</v>
      </c>
      <c r="M176">
        <v>175</v>
      </c>
      <c r="N176">
        <v>31500</v>
      </c>
      <c r="O176">
        <v>21000</v>
      </c>
      <c r="P176">
        <v>10500</v>
      </c>
      <c r="Q176">
        <v>0.33333333333333331</v>
      </c>
    </row>
    <row r="177" spans="1:17" x14ac:dyDescent="0.35">
      <c r="A177">
        <v>1072</v>
      </c>
      <c r="B177">
        <v>46305</v>
      </c>
      <c r="C177" s="1" t="s">
        <v>46</v>
      </c>
      <c r="D177" s="1" t="s">
        <v>19</v>
      </c>
      <c r="E177" s="1" t="s">
        <v>16</v>
      </c>
      <c r="F177">
        <v>9</v>
      </c>
      <c r="G177">
        <v>26600</v>
      </c>
      <c r="H177">
        <v>22500</v>
      </c>
      <c r="I177">
        <v>28</v>
      </c>
      <c r="J177" s="1" t="s">
        <v>66</v>
      </c>
      <c r="K177" s="1" t="s">
        <v>9</v>
      </c>
      <c r="L177">
        <v>4</v>
      </c>
      <c r="M177">
        <v>176</v>
      </c>
      <c r="N177">
        <v>239400</v>
      </c>
      <c r="O177">
        <v>202500</v>
      </c>
      <c r="P177">
        <v>36900</v>
      </c>
      <c r="Q177">
        <v>0.15413533834586471</v>
      </c>
    </row>
    <row r="178" spans="1:17" x14ac:dyDescent="0.35">
      <c r="A178">
        <v>1072</v>
      </c>
      <c r="B178">
        <v>46305</v>
      </c>
      <c r="C178" s="1" t="s">
        <v>46</v>
      </c>
      <c r="D178" s="1" t="s">
        <v>24</v>
      </c>
      <c r="E178" s="1" t="s">
        <v>25</v>
      </c>
      <c r="F178">
        <v>7</v>
      </c>
      <c r="G178">
        <v>665</v>
      </c>
      <c r="H178">
        <v>400</v>
      </c>
      <c r="I178">
        <v>28</v>
      </c>
      <c r="J178" s="1" t="s">
        <v>66</v>
      </c>
      <c r="K178" s="1" t="s">
        <v>9</v>
      </c>
      <c r="L178">
        <v>8</v>
      </c>
      <c r="M178">
        <v>177</v>
      </c>
      <c r="N178">
        <v>4655</v>
      </c>
      <c r="O178">
        <v>2800</v>
      </c>
      <c r="P178">
        <v>1855</v>
      </c>
      <c r="Q178">
        <v>0.39849624060150368</v>
      </c>
    </row>
    <row r="179" spans="1:17" x14ac:dyDescent="0.35">
      <c r="A179">
        <v>1063</v>
      </c>
      <c r="B179">
        <v>46306</v>
      </c>
      <c r="C179" s="1" t="s">
        <v>57</v>
      </c>
      <c r="D179" s="1" t="s">
        <v>26</v>
      </c>
      <c r="E179" s="1" t="s">
        <v>25</v>
      </c>
      <c r="F179">
        <v>2</v>
      </c>
      <c r="G179">
        <v>1500</v>
      </c>
      <c r="H179">
        <v>900</v>
      </c>
      <c r="I179">
        <v>20</v>
      </c>
      <c r="J179" s="1" t="s">
        <v>44</v>
      </c>
      <c r="K179" s="1" t="s">
        <v>11</v>
      </c>
      <c r="L179">
        <v>9</v>
      </c>
      <c r="M179">
        <v>178</v>
      </c>
      <c r="N179">
        <v>3000</v>
      </c>
      <c r="O179">
        <v>1800</v>
      </c>
      <c r="P179">
        <v>1200</v>
      </c>
      <c r="Q179">
        <v>0.4</v>
      </c>
    </row>
    <row r="180" spans="1:17" x14ac:dyDescent="0.35">
      <c r="A180">
        <v>1063</v>
      </c>
      <c r="B180">
        <v>46306</v>
      </c>
      <c r="C180" s="1" t="s">
        <v>57</v>
      </c>
      <c r="D180" s="1" t="s">
        <v>29</v>
      </c>
      <c r="E180" s="1" t="s">
        <v>30</v>
      </c>
      <c r="F180">
        <v>7</v>
      </c>
      <c r="G180">
        <v>4800</v>
      </c>
      <c r="H180">
        <v>3400</v>
      </c>
      <c r="I180">
        <v>20</v>
      </c>
      <c r="J180" s="1" t="s">
        <v>44</v>
      </c>
      <c r="K180" s="1" t="s">
        <v>11</v>
      </c>
      <c r="L180">
        <v>12</v>
      </c>
      <c r="M180">
        <v>179</v>
      </c>
      <c r="N180">
        <v>33600</v>
      </c>
      <c r="O180">
        <v>23800</v>
      </c>
      <c r="P180">
        <v>9800</v>
      </c>
      <c r="Q180">
        <v>0.29166666666666669</v>
      </c>
    </row>
    <row r="181" spans="1:17" x14ac:dyDescent="0.35">
      <c r="A181">
        <v>1063</v>
      </c>
      <c r="B181">
        <v>46306</v>
      </c>
      <c r="C181" s="1" t="s">
        <v>57</v>
      </c>
      <c r="D181" s="1" t="s">
        <v>18</v>
      </c>
      <c r="E181" s="1" t="s">
        <v>16</v>
      </c>
      <c r="F181">
        <v>9</v>
      </c>
      <c r="G181">
        <v>18000</v>
      </c>
      <c r="H181">
        <v>14500</v>
      </c>
      <c r="I181">
        <v>20</v>
      </c>
      <c r="J181" s="1" t="s">
        <v>44</v>
      </c>
      <c r="K181" s="1" t="s">
        <v>11</v>
      </c>
      <c r="L181">
        <v>3</v>
      </c>
      <c r="M181">
        <v>180</v>
      </c>
      <c r="N181">
        <v>162000</v>
      </c>
      <c r="O181">
        <v>130500</v>
      </c>
      <c r="P181">
        <v>31500</v>
      </c>
      <c r="Q181">
        <v>0.19444444444444439</v>
      </c>
    </row>
    <row r="182" spans="1:17" x14ac:dyDescent="0.35">
      <c r="A182">
        <v>1042</v>
      </c>
      <c r="B182">
        <v>46307</v>
      </c>
      <c r="C182" s="1" t="s">
        <v>65</v>
      </c>
      <c r="D182" s="1" t="s">
        <v>20</v>
      </c>
      <c r="E182" s="1" t="s">
        <v>21</v>
      </c>
      <c r="F182">
        <v>12</v>
      </c>
      <c r="G182">
        <v>4500</v>
      </c>
      <c r="H182">
        <v>3000</v>
      </c>
      <c r="I182">
        <v>32</v>
      </c>
      <c r="J182" s="1" t="s">
        <v>86</v>
      </c>
      <c r="K182" s="1" t="s">
        <v>9</v>
      </c>
      <c r="L182">
        <v>5</v>
      </c>
      <c r="M182">
        <v>181</v>
      </c>
      <c r="N182">
        <v>54000</v>
      </c>
      <c r="O182">
        <v>36000</v>
      </c>
      <c r="P182">
        <v>18000</v>
      </c>
      <c r="Q182">
        <v>0.33333333333333331</v>
      </c>
    </row>
    <row r="183" spans="1:17" x14ac:dyDescent="0.35">
      <c r="A183">
        <v>1079</v>
      </c>
      <c r="B183">
        <v>46309</v>
      </c>
      <c r="C183" s="1" t="s">
        <v>43</v>
      </c>
      <c r="D183" s="1" t="s">
        <v>27</v>
      </c>
      <c r="E183" s="1" t="s">
        <v>25</v>
      </c>
      <c r="F183">
        <v>3</v>
      </c>
      <c r="G183">
        <v>2200</v>
      </c>
      <c r="H183">
        <v>1350</v>
      </c>
      <c r="I183">
        <v>27</v>
      </c>
      <c r="J183" s="1" t="s">
        <v>55</v>
      </c>
      <c r="K183" s="1" t="s">
        <v>11</v>
      </c>
      <c r="L183">
        <v>10</v>
      </c>
      <c r="M183">
        <v>182</v>
      </c>
      <c r="N183">
        <v>6600</v>
      </c>
      <c r="O183">
        <v>4050</v>
      </c>
      <c r="P183">
        <v>2550</v>
      </c>
      <c r="Q183">
        <v>0.38636363636363641</v>
      </c>
    </row>
    <row r="184" spans="1:17" x14ac:dyDescent="0.35">
      <c r="A184">
        <v>1079</v>
      </c>
      <c r="B184">
        <v>46309</v>
      </c>
      <c r="C184" s="1" t="s">
        <v>43</v>
      </c>
      <c r="D184" s="1" t="s">
        <v>28</v>
      </c>
      <c r="E184" s="1" t="s">
        <v>25</v>
      </c>
      <c r="F184">
        <v>9</v>
      </c>
      <c r="G184">
        <v>3200</v>
      </c>
      <c r="H184">
        <v>2100</v>
      </c>
      <c r="I184">
        <v>27</v>
      </c>
      <c r="J184" s="1" t="s">
        <v>55</v>
      </c>
      <c r="K184" s="1" t="s">
        <v>11</v>
      </c>
      <c r="L184">
        <v>11</v>
      </c>
      <c r="M184">
        <v>183</v>
      </c>
      <c r="N184">
        <v>28800</v>
      </c>
      <c r="O184">
        <v>18900</v>
      </c>
      <c r="P184">
        <v>9900</v>
      </c>
      <c r="Q184">
        <v>0.34375</v>
      </c>
    </row>
    <row r="185" spans="1:17" x14ac:dyDescent="0.35">
      <c r="A185">
        <v>1079</v>
      </c>
      <c r="B185">
        <v>46309</v>
      </c>
      <c r="C185" s="1" t="s">
        <v>43</v>
      </c>
      <c r="D185" s="1" t="s">
        <v>24</v>
      </c>
      <c r="E185" s="1" t="s">
        <v>25</v>
      </c>
      <c r="F185">
        <v>6</v>
      </c>
      <c r="G185">
        <v>700</v>
      </c>
      <c r="H185">
        <v>400</v>
      </c>
      <c r="I185">
        <v>27</v>
      </c>
      <c r="J185" s="1" t="s">
        <v>55</v>
      </c>
      <c r="K185" s="1" t="s">
        <v>11</v>
      </c>
      <c r="L185">
        <v>8</v>
      </c>
      <c r="M185">
        <v>184</v>
      </c>
      <c r="N185">
        <v>4200</v>
      </c>
      <c r="O185">
        <v>2400</v>
      </c>
      <c r="P185">
        <v>1800</v>
      </c>
      <c r="Q185">
        <v>0.42857142857142849</v>
      </c>
    </row>
    <row r="186" spans="1:17" x14ac:dyDescent="0.35">
      <c r="A186">
        <v>1057</v>
      </c>
      <c r="B186">
        <v>46311</v>
      </c>
      <c r="C186" s="1" t="s">
        <v>43</v>
      </c>
      <c r="D186" s="1" t="s">
        <v>31</v>
      </c>
      <c r="E186" s="1" t="s">
        <v>30</v>
      </c>
      <c r="F186">
        <v>8</v>
      </c>
      <c r="G186">
        <v>9500</v>
      </c>
      <c r="H186">
        <v>7100</v>
      </c>
      <c r="I186">
        <v>7</v>
      </c>
      <c r="J186" s="1" t="s">
        <v>51</v>
      </c>
      <c r="K186" s="1" t="s">
        <v>9</v>
      </c>
      <c r="L186">
        <v>13</v>
      </c>
      <c r="M186">
        <v>185</v>
      </c>
      <c r="N186">
        <v>76000</v>
      </c>
      <c r="O186">
        <v>56800</v>
      </c>
      <c r="P186">
        <v>19200</v>
      </c>
      <c r="Q186">
        <v>0.25263157894736837</v>
      </c>
    </row>
    <row r="187" spans="1:17" x14ac:dyDescent="0.35">
      <c r="A187">
        <v>1057</v>
      </c>
      <c r="B187">
        <v>46311</v>
      </c>
      <c r="C187" s="1" t="s">
        <v>43</v>
      </c>
      <c r="D187" s="1" t="s">
        <v>26</v>
      </c>
      <c r="E187" s="1" t="s">
        <v>25</v>
      </c>
      <c r="F187">
        <v>4</v>
      </c>
      <c r="G187">
        <v>1425</v>
      </c>
      <c r="H187">
        <v>900</v>
      </c>
      <c r="I187">
        <v>7</v>
      </c>
      <c r="J187" s="1" t="s">
        <v>51</v>
      </c>
      <c r="K187" s="1" t="s">
        <v>9</v>
      </c>
      <c r="L187">
        <v>9</v>
      </c>
      <c r="M187">
        <v>186</v>
      </c>
      <c r="N187">
        <v>5700</v>
      </c>
      <c r="O187">
        <v>3600</v>
      </c>
      <c r="P187">
        <v>2100</v>
      </c>
      <c r="Q187">
        <v>0.36842105263157893</v>
      </c>
    </row>
    <row r="188" spans="1:17" x14ac:dyDescent="0.35">
      <c r="A188">
        <v>1057</v>
      </c>
      <c r="B188">
        <v>46311</v>
      </c>
      <c r="C188" s="1" t="s">
        <v>43</v>
      </c>
      <c r="D188" s="1" t="s">
        <v>23</v>
      </c>
      <c r="E188" s="1" t="s">
        <v>21</v>
      </c>
      <c r="F188">
        <v>10</v>
      </c>
      <c r="G188">
        <v>6200</v>
      </c>
      <c r="H188">
        <v>4300</v>
      </c>
      <c r="I188">
        <v>7</v>
      </c>
      <c r="J188" s="1" t="s">
        <v>51</v>
      </c>
      <c r="K188" s="1" t="s">
        <v>9</v>
      </c>
      <c r="L188">
        <v>7</v>
      </c>
      <c r="M188">
        <v>187</v>
      </c>
      <c r="N188">
        <v>62000</v>
      </c>
      <c r="O188">
        <v>43000</v>
      </c>
      <c r="P188">
        <v>19000</v>
      </c>
      <c r="Q188">
        <v>0.30645161290322581</v>
      </c>
    </row>
    <row r="189" spans="1:17" x14ac:dyDescent="0.35">
      <c r="A189">
        <v>1011</v>
      </c>
      <c r="B189">
        <v>46313</v>
      </c>
      <c r="C189" s="1" t="s">
        <v>46</v>
      </c>
      <c r="D189" s="1" t="s">
        <v>32</v>
      </c>
      <c r="E189" s="1" t="s">
        <v>33</v>
      </c>
      <c r="F189">
        <v>7</v>
      </c>
      <c r="G189">
        <v>5850</v>
      </c>
      <c r="H189">
        <v>4700</v>
      </c>
      <c r="I189">
        <v>6</v>
      </c>
      <c r="J189" s="1" t="s">
        <v>50</v>
      </c>
      <c r="K189" s="1" t="s">
        <v>9</v>
      </c>
      <c r="L189">
        <v>14</v>
      </c>
      <c r="M189">
        <v>188</v>
      </c>
      <c r="N189">
        <v>40950</v>
      </c>
      <c r="O189">
        <v>32900</v>
      </c>
      <c r="P189">
        <v>8050</v>
      </c>
      <c r="Q189">
        <v>0.1965811965811966</v>
      </c>
    </row>
    <row r="190" spans="1:17" x14ac:dyDescent="0.35">
      <c r="A190">
        <v>1050</v>
      </c>
      <c r="B190">
        <v>46314</v>
      </c>
      <c r="C190" s="1" t="s">
        <v>40</v>
      </c>
      <c r="D190" s="1" t="s">
        <v>29</v>
      </c>
      <c r="E190" s="1" t="s">
        <v>30</v>
      </c>
      <c r="F190">
        <v>12</v>
      </c>
      <c r="G190">
        <v>4800</v>
      </c>
      <c r="H190">
        <v>3400</v>
      </c>
      <c r="I190">
        <v>16</v>
      </c>
      <c r="J190" s="1" t="s">
        <v>67</v>
      </c>
      <c r="K190" s="1" t="s">
        <v>9</v>
      </c>
      <c r="L190">
        <v>12</v>
      </c>
      <c r="M190">
        <v>189</v>
      </c>
      <c r="N190">
        <v>57600</v>
      </c>
      <c r="O190">
        <v>40800</v>
      </c>
      <c r="P190">
        <v>16800</v>
      </c>
      <c r="Q190">
        <v>0.29166666666666669</v>
      </c>
    </row>
    <row r="191" spans="1:17" x14ac:dyDescent="0.35">
      <c r="A191">
        <v>1050</v>
      </c>
      <c r="B191">
        <v>46314</v>
      </c>
      <c r="C191" s="1" t="s">
        <v>40</v>
      </c>
      <c r="D191" s="1" t="s">
        <v>24</v>
      </c>
      <c r="E191" s="1" t="s">
        <v>25</v>
      </c>
      <c r="F191">
        <v>7</v>
      </c>
      <c r="G191">
        <v>665</v>
      </c>
      <c r="H191">
        <v>400</v>
      </c>
      <c r="I191">
        <v>16</v>
      </c>
      <c r="J191" s="1" t="s">
        <v>67</v>
      </c>
      <c r="K191" s="1" t="s">
        <v>9</v>
      </c>
      <c r="L191">
        <v>8</v>
      </c>
      <c r="M191">
        <v>190</v>
      </c>
      <c r="N191">
        <v>4655</v>
      </c>
      <c r="O191">
        <v>2800</v>
      </c>
      <c r="P191">
        <v>1855</v>
      </c>
      <c r="Q191">
        <v>0.39849624060150368</v>
      </c>
    </row>
    <row r="192" spans="1:17" x14ac:dyDescent="0.35">
      <c r="A192">
        <v>1026</v>
      </c>
      <c r="B192">
        <v>46315</v>
      </c>
      <c r="C192" s="1" t="s">
        <v>40</v>
      </c>
      <c r="D192" s="1" t="s">
        <v>15</v>
      </c>
      <c r="E192" s="1" t="s">
        <v>16</v>
      </c>
      <c r="F192">
        <v>9</v>
      </c>
      <c r="G192">
        <v>55000</v>
      </c>
      <c r="H192">
        <v>46000</v>
      </c>
      <c r="I192">
        <v>31</v>
      </c>
      <c r="J192" s="1" t="s">
        <v>85</v>
      </c>
      <c r="K192" s="1" t="s">
        <v>9</v>
      </c>
      <c r="L192">
        <v>1</v>
      </c>
      <c r="M192">
        <v>191</v>
      </c>
      <c r="N192">
        <v>495000</v>
      </c>
      <c r="O192">
        <v>414000</v>
      </c>
      <c r="P192">
        <v>81000</v>
      </c>
      <c r="Q192">
        <v>0.16363636363636361</v>
      </c>
    </row>
    <row r="193" spans="1:17" x14ac:dyDescent="0.35">
      <c r="A193">
        <v>1026</v>
      </c>
      <c r="B193">
        <v>46315</v>
      </c>
      <c r="C193" s="1" t="s">
        <v>40</v>
      </c>
      <c r="D193" s="1" t="s">
        <v>18</v>
      </c>
      <c r="E193" s="1" t="s">
        <v>16</v>
      </c>
      <c r="F193">
        <v>6</v>
      </c>
      <c r="G193">
        <v>16200</v>
      </c>
      <c r="H193">
        <v>14500</v>
      </c>
      <c r="I193">
        <v>31</v>
      </c>
      <c r="J193" s="1" t="s">
        <v>85</v>
      </c>
      <c r="K193" s="1" t="s">
        <v>9</v>
      </c>
      <c r="L193">
        <v>3</v>
      </c>
      <c r="M193">
        <v>192</v>
      </c>
      <c r="N193">
        <v>97200</v>
      </c>
      <c r="O193">
        <v>87000</v>
      </c>
      <c r="P193">
        <v>10200</v>
      </c>
      <c r="Q193">
        <v>0.10493827160493829</v>
      </c>
    </row>
    <row r="194" spans="1:17" x14ac:dyDescent="0.35">
      <c r="A194">
        <v>1097</v>
      </c>
      <c r="B194">
        <v>46318</v>
      </c>
      <c r="C194" s="1" t="s">
        <v>65</v>
      </c>
      <c r="D194" s="1" t="s">
        <v>17</v>
      </c>
      <c r="E194" s="1" t="s">
        <v>16</v>
      </c>
      <c r="F194">
        <v>8</v>
      </c>
      <c r="G194">
        <v>10800</v>
      </c>
      <c r="H194">
        <v>9500</v>
      </c>
      <c r="I194">
        <v>13</v>
      </c>
      <c r="J194" s="1" t="s">
        <v>63</v>
      </c>
      <c r="K194" s="1" t="s">
        <v>9</v>
      </c>
      <c r="L194">
        <v>2</v>
      </c>
      <c r="M194">
        <v>193</v>
      </c>
      <c r="N194">
        <v>86400</v>
      </c>
      <c r="O194">
        <v>76000</v>
      </c>
      <c r="P194">
        <v>10400</v>
      </c>
      <c r="Q194">
        <v>0.12037037037037041</v>
      </c>
    </row>
    <row r="195" spans="1:17" x14ac:dyDescent="0.35">
      <c r="A195">
        <v>1097</v>
      </c>
      <c r="B195">
        <v>46318</v>
      </c>
      <c r="C195" s="1" t="s">
        <v>65</v>
      </c>
      <c r="D195" s="1" t="s">
        <v>26</v>
      </c>
      <c r="E195" s="1" t="s">
        <v>25</v>
      </c>
      <c r="F195">
        <v>12</v>
      </c>
      <c r="G195">
        <v>1425</v>
      </c>
      <c r="H195">
        <v>900</v>
      </c>
      <c r="I195">
        <v>13</v>
      </c>
      <c r="J195" s="1" t="s">
        <v>63</v>
      </c>
      <c r="K195" s="1" t="s">
        <v>9</v>
      </c>
      <c r="L195">
        <v>9</v>
      </c>
      <c r="M195">
        <v>194</v>
      </c>
      <c r="N195">
        <v>17100</v>
      </c>
      <c r="O195">
        <v>10800</v>
      </c>
      <c r="P195">
        <v>6300</v>
      </c>
      <c r="Q195">
        <v>0.36842105263157893</v>
      </c>
    </row>
    <row r="196" spans="1:17" x14ac:dyDescent="0.35">
      <c r="A196">
        <v>1044</v>
      </c>
      <c r="B196">
        <v>46319</v>
      </c>
      <c r="C196" s="1" t="s">
        <v>40</v>
      </c>
      <c r="D196" s="1" t="s">
        <v>32</v>
      </c>
      <c r="E196" s="1" t="s">
        <v>33</v>
      </c>
      <c r="F196">
        <v>3</v>
      </c>
      <c r="G196">
        <v>5850</v>
      </c>
      <c r="H196">
        <v>4700</v>
      </c>
      <c r="I196">
        <v>4</v>
      </c>
      <c r="J196" s="1" t="s">
        <v>47</v>
      </c>
      <c r="K196" s="1" t="s">
        <v>8</v>
      </c>
      <c r="L196">
        <v>14</v>
      </c>
      <c r="M196">
        <v>195</v>
      </c>
      <c r="N196">
        <v>17550</v>
      </c>
      <c r="O196">
        <v>14100</v>
      </c>
      <c r="P196">
        <v>3450</v>
      </c>
      <c r="Q196">
        <v>0.1965811965811966</v>
      </c>
    </row>
    <row r="197" spans="1:17" x14ac:dyDescent="0.35">
      <c r="A197">
        <v>1044</v>
      </c>
      <c r="B197">
        <v>46319</v>
      </c>
      <c r="C197" s="1" t="s">
        <v>40</v>
      </c>
      <c r="D197" s="1" t="s">
        <v>28</v>
      </c>
      <c r="E197" s="1" t="s">
        <v>25</v>
      </c>
      <c r="F197">
        <v>8</v>
      </c>
      <c r="G197">
        <v>3200</v>
      </c>
      <c r="H197">
        <v>2100</v>
      </c>
      <c r="I197">
        <v>4</v>
      </c>
      <c r="J197" s="1" t="s">
        <v>47</v>
      </c>
      <c r="K197" s="1" t="s">
        <v>8</v>
      </c>
      <c r="L197">
        <v>11</v>
      </c>
      <c r="M197">
        <v>196</v>
      </c>
      <c r="N197">
        <v>25600</v>
      </c>
      <c r="O197">
        <v>16800</v>
      </c>
      <c r="P197">
        <v>8800</v>
      </c>
      <c r="Q197">
        <v>0.34375</v>
      </c>
    </row>
    <row r="198" spans="1:17" x14ac:dyDescent="0.35">
      <c r="A198">
        <v>1052</v>
      </c>
      <c r="B198">
        <v>46321</v>
      </c>
      <c r="C198" s="1" t="s">
        <v>46</v>
      </c>
      <c r="D198" s="1" t="s">
        <v>27</v>
      </c>
      <c r="E198" s="1" t="s">
        <v>25</v>
      </c>
      <c r="F198">
        <v>7</v>
      </c>
      <c r="G198">
        <v>1980</v>
      </c>
      <c r="H198">
        <v>1350</v>
      </c>
      <c r="I198">
        <v>34</v>
      </c>
      <c r="J198" s="1" t="s">
        <v>88</v>
      </c>
      <c r="K198" s="1" t="s">
        <v>9</v>
      </c>
      <c r="L198">
        <v>10</v>
      </c>
      <c r="M198">
        <v>197</v>
      </c>
      <c r="N198">
        <v>13860</v>
      </c>
      <c r="O198">
        <v>9450</v>
      </c>
      <c r="P198">
        <v>4410</v>
      </c>
      <c r="Q198">
        <v>0.31818181818181818</v>
      </c>
    </row>
    <row r="199" spans="1:17" x14ac:dyDescent="0.35">
      <c r="A199">
        <v>1052</v>
      </c>
      <c r="B199">
        <v>46321</v>
      </c>
      <c r="C199" s="1" t="s">
        <v>46</v>
      </c>
      <c r="D199" s="1" t="s">
        <v>29</v>
      </c>
      <c r="E199" s="1" t="s">
        <v>30</v>
      </c>
      <c r="F199">
        <v>6</v>
      </c>
      <c r="G199">
        <v>4800</v>
      </c>
      <c r="H199">
        <v>3400</v>
      </c>
      <c r="I199">
        <v>34</v>
      </c>
      <c r="J199" s="1" t="s">
        <v>88</v>
      </c>
      <c r="K199" s="1" t="s">
        <v>9</v>
      </c>
      <c r="L199">
        <v>12</v>
      </c>
      <c r="M199">
        <v>198</v>
      </c>
      <c r="N199">
        <v>28800</v>
      </c>
      <c r="O199">
        <v>20400</v>
      </c>
      <c r="P199">
        <v>8400</v>
      </c>
      <c r="Q199">
        <v>0.29166666666666669</v>
      </c>
    </row>
    <row r="200" spans="1:17" x14ac:dyDescent="0.35">
      <c r="A200">
        <v>1020</v>
      </c>
      <c r="B200">
        <v>46324</v>
      </c>
      <c r="C200" s="1" t="s">
        <v>46</v>
      </c>
      <c r="D200" s="1" t="s">
        <v>22</v>
      </c>
      <c r="E200" s="1" t="s">
        <v>21</v>
      </c>
      <c r="F200">
        <v>12</v>
      </c>
      <c r="G200">
        <v>8500</v>
      </c>
      <c r="H200">
        <v>6200</v>
      </c>
      <c r="I200">
        <v>15</v>
      </c>
      <c r="J200" s="1" t="s">
        <v>50</v>
      </c>
      <c r="K200" s="1" t="s">
        <v>9</v>
      </c>
      <c r="L200">
        <v>6</v>
      </c>
      <c r="M200">
        <v>199</v>
      </c>
      <c r="N200">
        <v>102000</v>
      </c>
      <c r="O200">
        <v>74400</v>
      </c>
      <c r="P200">
        <v>27600</v>
      </c>
      <c r="Q200">
        <v>0.27058823529411757</v>
      </c>
    </row>
    <row r="201" spans="1:17" x14ac:dyDescent="0.35">
      <c r="A201">
        <v>1020</v>
      </c>
      <c r="B201">
        <v>46324</v>
      </c>
      <c r="C201" s="1" t="s">
        <v>46</v>
      </c>
      <c r="D201" s="1" t="s">
        <v>28</v>
      </c>
      <c r="E201" s="1" t="s">
        <v>25</v>
      </c>
      <c r="F201">
        <v>9</v>
      </c>
      <c r="G201">
        <v>2880</v>
      </c>
      <c r="H201">
        <v>2100</v>
      </c>
      <c r="I201">
        <v>15</v>
      </c>
      <c r="J201" s="1" t="s">
        <v>50</v>
      </c>
      <c r="K201" s="1" t="s">
        <v>9</v>
      </c>
      <c r="L201">
        <v>11</v>
      </c>
      <c r="M201">
        <v>200</v>
      </c>
      <c r="N201">
        <v>25920</v>
      </c>
      <c r="O201">
        <v>18900</v>
      </c>
      <c r="P201">
        <v>7020</v>
      </c>
      <c r="Q201">
        <v>0.27083333333333331</v>
      </c>
    </row>
    <row r="202" spans="1:17" x14ac:dyDescent="0.35">
      <c r="A202">
        <v>1008</v>
      </c>
      <c r="B202">
        <v>46329</v>
      </c>
      <c r="C202" s="1" t="s">
        <v>46</v>
      </c>
      <c r="D202" s="1" t="s">
        <v>17</v>
      </c>
      <c r="E202" s="1" t="s">
        <v>16</v>
      </c>
      <c r="F202">
        <v>11</v>
      </c>
      <c r="G202">
        <v>12000</v>
      </c>
      <c r="H202">
        <v>9500</v>
      </c>
      <c r="I202">
        <v>21</v>
      </c>
      <c r="J202" s="1" t="s">
        <v>41</v>
      </c>
      <c r="K202" s="1" t="s">
        <v>9</v>
      </c>
      <c r="L202">
        <v>2</v>
      </c>
      <c r="M202">
        <v>201</v>
      </c>
      <c r="N202">
        <v>132000</v>
      </c>
      <c r="O202">
        <v>104500</v>
      </c>
      <c r="P202">
        <v>27500</v>
      </c>
      <c r="Q202">
        <v>0.20833333333333329</v>
      </c>
    </row>
    <row r="203" spans="1:17" x14ac:dyDescent="0.35">
      <c r="A203">
        <v>1008</v>
      </c>
      <c r="B203">
        <v>46329</v>
      </c>
      <c r="C203" s="1" t="s">
        <v>46</v>
      </c>
      <c r="D203" s="1" t="s">
        <v>19</v>
      </c>
      <c r="E203" s="1" t="s">
        <v>16</v>
      </c>
      <c r="F203">
        <v>4</v>
      </c>
      <c r="G203">
        <v>25200</v>
      </c>
      <c r="H203">
        <v>22500</v>
      </c>
      <c r="I203">
        <v>21</v>
      </c>
      <c r="J203" s="1" t="s">
        <v>41</v>
      </c>
      <c r="K203" s="1" t="s">
        <v>9</v>
      </c>
      <c r="L203">
        <v>4</v>
      </c>
      <c r="M203">
        <v>202</v>
      </c>
      <c r="N203">
        <v>100800</v>
      </c>
      <c r="O203">
        <v>90000</v>
      </c>
      <c r="P203">
        <v>10800</v>
      </c>
      <c r="Q203">
        <v>0.1071428571428571</v>
      </c>
    </row>
    <row r="204" spans="1:17" x14ac:dyDescent="0.35">
      <c r="A204">
        <v>1008</v>
      </c>
      <c r="B204">
        <v>46329</v>
      </c>
      <c r="C204" s="1" t="s">
        <v>46</v>
      </c>
      <c r="D204" s="1" t="s">
        <v>28</v>
      </c>
      <c r="E204" s="1" t="s">
        <v>25</v>
      </c>
      <c r="F204">
        <v>7</v>
      </c>
      <c r="G204">
        <v>2880</v>
      </c>
      <c r="H204">
        <v>2100</v>
      </c>
      <c r="I204">
        <v>21</v>
      </c>
      <c r="J204" s="1" t="s">
        <v>41</v>
      </c>
      <c r="K204" s="1" t="s">
        <v>9</v>
      </c>
      <c r="L204">
        <v>11</v>
      </c>
      <c r="M204">
        <v>203</v>
      </c>
      <c r="N204">
        <v>20160</v>
      </c>
      <c r="O204">
        <v>14700</v>
      </c>
      <c r="P204">
        <v>5460</v>
      </c>
      <c r="Q204">
        <v>0.27083333333333331</v>
      </c>
    </row>
    <row r="205" spans="1:17" x14ac:dyDescent="0.35">
      <c r="A205">
        <v>1066</v>
      </c>
      <c r="B205">
        <v>46332</v>
      </c>
      <c r="C205" s="1" t="s">
        <v>40</v>
      </c>
      <c r="D205" s="1" t="s">
        <v>29</v>
      </c>
      <c r="E205" s="1" t="s">
        <v>30</v>
      </c>
      <c r="F205">
        <v>3</v>
      </c>
      <c r="G205">
        <v>4800</v>
      </c>
      <c r="H205">
        <v>3400</v>
      </c>
      <c r="I205">
        <v>14</v>
      </c>
      <c r="J205" s="1" t="s">
        <v>66</v>
      </c>
      <c r="K205" s="1" t="s">
        <v>8</v>
      </c>
      <c r="L205">
        <v>12</v>
      </c>
      <c r="M205">
        <v>204</v>
      </c>
      <c r="N205">
        <v>14400</v>
      </c>
      <c r="O205">
        <v>10200</v>
      </c>
      <c r="P205">
        <v>4200</v>
      </c>
      <c r="Q205">
        <v>0.29166666666666669</v>
      </c>
    </row>
    <row r="206" spans="1:17" x14ac:dyDescent="0.35">
      <c r="A206">
        <v>1066</v>
      </c>
      <c r="B206">
        <v>46332</v>
      </c>
      <c r="C206" s="1" t="s">
        <v>40</v>
      </c>
      <c r="D206" s="1" t="s">
        <v>17</v>
      </c>
      <c r="E206" s="1" t="s">
        <v>16</v>
      </c>
      <c r="F206">
        <v>1</v>
      </c>
      <c r="G206">
        <v>10800</v>
      </c>
      <c r="H206">
        <v>9500</v>
      </c>
      <c r="I206">
        <v>14</v>
      </c>
      <c r="J206" s="1" t="s">
        <v>66</v>
      </c>
      <c r="K206" s="1" t="s">
        <v>8</v>
      </c>
      <c r="L206">
        <v>2</v>
      </c>
      <c r="M206">
        <v>205</v>
      </c>
      <c r="N206">
        <v>10800</v>
      </c>
      <c r="O206">
        <v>9500</v>
      </c>
      <c r="P206">
        <v>1300</v>
      </c>
      <c r="Q206">
        <v>0.12037037037037041</v>
      </c>
    </row>
    <row r="207" spans="1:17" x14ac:dyDescent="0.35">
      <c r="A207">
        <v>1066</v>
      </c>
      <c r="B207">
        <v>46332</v>
      </c>
      <c r="C207" s="1" t="s">
        <v>40</v>
      </c>
      <c r="D207" s="1" t="s">
        <v>24</v>
      </c>
      <c r="E207" s="1" t="s">
        <v>25</v>
      </c>
      <c r="F207">
        <v>6</v>
      </c>
      <c r="G207">
        <v>630</v>
      </c>
      <c r="H207">
        <v>400</v>
      </c>
      <c r="I207">
        <v>14</v>
      </c>
      <c r="J207" s="1" t="s">
        <v>66</v>
      </c>
      <c r="K207" s="1" t="s">
        <v>8</v>
      </c>
      <c r="L207">
        <v>8</v>
      </c>
      <c r="M207">
        <v>206</v>
      </c>
      <c r="N207">
        <v>3780</v>
      </c>
      <c r="O207">
        <v>2400</v>
      </c>
      <c r="P207">
        <v>1380</v>
      </c>
      <c r="Q207">
        <v>0.36507936507936511</v>
      </c>
    </row>
    <row r="208" spans="1:17" x14ac:dyDescent="0.35">
      <c r="A208">
        <v>1015</v>
      </c>
      <c r="B208">
        <v>46333</v>
      </c>
      <c r="C208" s="1" t="s">
        <v>46</v>
      </c>
      <c r="D208" s="1" t="s">
        <v>22</v>
      </c>
      <c r="E208" s="1" t="s">
        <v>21</v>
      </c>
      <c r="F208">
        <v>7</v>
      </c>
      <c r="G208">
        <v>8075</v>
      </c>
      <c r="H208">
        <v>6200</v>
      </c>
      <c r="I208">
        <v>28</v>
      </c>
      <c r="J208" s="1" t="s">
        <v>66</v>
      </c>
      <c r="K208" s="1" t="s">
        <v>11</v>
      </c>
      <c r="L208">
        <v>6</v>
      </c>
      <c r="M208">
        <v>207</v>
      </c>
      <c r="N208">
        <v>56525</v>
      </c>
      <c r="O208">
        <v>43400</v>
      </c>
      <c r="P208">
        <v>13125</v>
      </c>
      <c r="Q208">
        <v>0.2321981424148607</v>
      </c>
    </row>
    <row r="209" spans="1:17" x14ac:dyDescent="0.35">
      <c r="A209">
        <v>1015</v>
      </c>
      <c r="B209">
        <v>46333</v>
      </c>
      <c r="C209" s="1" t="s">
        <v>46</v>
      </c>
      <c r="D209" s="1" t="s">
        <v>32</v>
      </c>
      <c r="E209" s="1" t="s">
        <v>33</v>
      </c>
      <c r="F209">
        <v>4</v>
      </c>
      <c r="G209">
        <v>6500</v>
      </c>
      <c r="H209">
        <v>4700</v>
      </c>
      <c r="I209">
        <v>28</v>
      </c>
      <c r="J209" s="1" t="s">
        <v>66</v>
      </c>
      <c r="K209" s="1" t="s">
        <v>11</v>
      </c>
      <c r="L209">
        <v>14</v>
      </c>
      <c r="M209">
        <v>208</v>
      </c>
      <c r="N209">
        <v>26000</v>
      </c>
      <c r="O209">
        <v>18800</v>
      </c>
      <c r="P209">
        <v>7200</v>
      </c>
      <c r="Q209">
        <v>0.27692307692307688</v>
      </c>
    </row>
    <row r="210" spans="1:17" x14ac:dyDescent="0.35">
      <c r="A210">
        <v>1062</v>
      </c>
      <c r="B210">
        <v>46357</v>
      </c>
      <c r="C210" s="1" t="s">
        <v>46</v>
      </c>
      <c r="D210" s="1" t="s">
        <v>27</v>
      </c>
      <c r="E210" s="1" t="s">
        <v>25</v>
      </c>
      <c r="F210">
        <v>3</v>
      </c>
      <c r="G210">
        <v>2090</v>
      </c>
      <c r="H210">
        <v>1350</v>
      </c>
      <c r="I210">
        <v>34</v>
      </c>
      <c r="J210" s="1" t="s">
        <v>88</v>
      </c>
      <c r="K210" s="1" t="s">
        <v>9</v>
      </c>
      <c r="L210">
        <v>10</v>
      </c>
      <c r="M210">
        <v>209</v>
      </c>
      <c r="N210">
        <v>6270</v>
      </c>
      <c r="O210">
        <v>4050</v>
      </c>
      <c r="P210">
        <v>2220</v>
      </c>
      <c r="Q210">
        <v>0.35406698564593297</v>
      </c>
    </row>
    <row r="211" spans="1:17" x14ac:dyDescent="0.35">
      <c r="A211">
        <v>1062</v>
      </c>
      <c r="B211">
        <v>46357</v>
      </c>
      <c r="C211" s="1" t="s">
        <v>46</v>
      </c>
      <c r="D211" s="1" t="s">
        <v>28</v>
      </c>
      <c r="E211" s="1" t="s">
        <v>25</v>
      </c>
      <c r="F211">
        <v>3</v>
      </c>
      <c r="G211">
        <v>2880</v>
      </c>
      <c r="H211">
        <v>2100</v>
      </c>
      <c r="I211">
        <v>34</v>
      </c>
      <c r="J211" s="1" t="s">
        <v>88</v>
      </c>
      <c r="K211" s="1" t="s">
        <v>9</v>
      </c>
      <c r="L211">
        <v>11</v>
      </c>
      <c r="M211">
        <v>210</v>
      </c>
      <c r="N211">
        <v>8640</v>
      </c>
      <c r="O211">
        <v>6300</v>
      </c>
      <c r="P211">
        <v>2340</v>
      </c>
      <c r="Q211">
        <v>0.27083333333333331</v>
      </c>
    </row>
    <row r="212" spans="1:17" x14ac:dyDescent="0.35">
      <c r="A212">
        <v>1074</v>
      </c>
      <c r="B212">
        <v>46376</v>
      </c>
      <c r="C212" s="1" t="s">
        <v>57</v>
      </c>
      <c r="D212" s="1" t="s">
        <v>32</v>
      </c>
      <c r="E212" s="1" t="s">
        <v>33</v>
      </c>
      <c r="F212">
        <v>11</v>
      </c>
      <c r="G212">
        <v>6175</v>
      </c>
      <c r="H212">
        <v>4700</v>
      </c>
      <c r="I212">
        <v>10</v>
      </c>
      <c r="J212" s="1" t="s">
        <v>58</v>
      </c>
      <c r="K212" s="1" t="s">
        <v>9</v>
      </c>
      <c r="L212">
        <v>14</v>
      </c>
      <c r="M212">
        <v>211</v>
      </c>
      <c r="N212">
        <v>67925</v>
      </c>
      <c r="O212">
        <v>51700</v>
      </c>
      <c r="P212">
        <v>16225</v>
      </c>
      <c r="Q212">
        <v>0.23886639676113361</v>
      </c>
    </row>
    <row r="213" spans="1:17" x14ac:dyDescent="0.35">
      <c r="A213">
        <v>1074</v>
      </c>
      <c r="B213">
        <v>46376</v>
      </c>
      <c r="C213" s="1" t="s">
        <v>57</v>
      </c>
      <c r="D213" s="1" t="s">
        <v>23</v>
      </c>
      <c r="E213" s="1" t="s">
        <v>21</v>
      </c>
      <c r="F213">
        <v>8</v>
      </c>
      <c r="G213">
        <v>6200</v>
      </c>
      <c r="H213">
        <v>4300</v>
      </c>
      <c r="I213">
        <v>10</v>
      </c>
      <c r="J213" s="1" t="s">
        <v>58</v>
      </c>
      <c r="K213" s="1" t="s">
        <v>9</v>
      </c>
      <c r="L213">
        <v>7</v>
      </c>
      <c r="M213">
        <v>212</v>
      </c>
      <c r="N213">
        <v>49600</v>
      </c>
      <c r="O213">
        <v>34400</v>
      </c>
      <c r="P213">
        <v>15200</v>
      </c>
      <c r="Q213">
        <v>0.30645161290322581</v>
      </c>
    </row>
    <row r="214" spans="1:17" x14ac:dyDescent="0.35">
      <c r="A214">
        <v>1074</v>
      </c>
      <c r="B214">
        <v>46376</v>
      </c>
      <c r="C214" s="1" t="s">
        <v>57</v>
      </c>
      <c r="D214" s="1" t="s">
        <v>27</v>
      </c>
      <c r="E214" s="1" t="s">
        <v>25</v>
      </c>
      <c r="F214">
        <v>3</v>
      </c>
      <c r="G214">
        <v>2090</v>
      </c>
      <c r="H214">
        <v>1350</v>
      </c>
      <c r="I214">
        <v>10</v>
      </c>
      <c r="J214" s="1" t="s">
        <v>58</v>
      </c>
      <c r="K214" s="1" t="s">
        <v>9</v>
      </c>
      <c r="L214">
        <v>10</v>
      </c>
      <c r="M214">
        <v>213</v>
      </c>
      <c r="N214">
        <v>6270</v>
      </c>
      <c r="O214">
        <v>4050</v>
      </c>
      <c r="P214">
        <v>2220</v>
      </c>
      <c r="Q214">
        <v>0.35406698564593297</v>
      </c>
    </row>
    <row r="215" spans="1:17" x14ac:dyDescent="0.35">
      <c r="A215">
        <v>1084</v>
      </c>
      <c r="B215">
        <v>46382</v>
      </c>
      <c r="C215" s="1" t="s">
        <v>43</v>
      </c>
      <c r="D215" s="1" t="s">
        <v>28</v>
      </c>
      <c r="E215" s="1" t="s">
        <v>25</v>
      </c>
      <c r="F215">
        <v>8</v>
      </c>
      <c r="G215">
        <v>3200</v>
      </c>
      <c r="H215">
        <v>2100</v>
      </c>
      <c r="I215">
        <v>7</v>
      </c>
      <c r="J215" s="1" t="s">
        <v>51</v>
      </c>
      <c r="K215" s="1" t="s">
        <v>9</v>
      </c>
      <c r="L215">
        <v>11</v>
      </c>
      <c r="M215">
        <v>214</v>
      </c>
      <c r="N215">
        <v>25600</v>
      </c>
      <c r="O215">
        <v>16800</v>
      </c>
      <c r="P215">
        <v>8800</v>
      </c>
      <c r="Q215">
        <v>0.34375</v>
      </c>
    </row>
    <row r="216" spans="1:17" x14ac:dyDescent="0.35">
      <c r="A216">
        <v>1084</v>
      </c>
      <c r="B216">
        <v>46382</v>
      </c>
      <c r="C216" s="1" t="s">
        <v>43</v>
      </c>
      <c r="D216" s="1" t="s">
        <v>20</v>
      </c>
      <c r="E216" s="1" t="s">
        <v>21</v>
      </c>
      <c r="F216">
        <v>11</v>
      </c>
      <c r="G216">
        <v>4050</v>
      </c>
      <c r="H216">
        <v>3000</v>
      </c>
      <c r="I216">
        <v>7</v>
      </c>
      <c r="J216" s="1" t="s">
        <v>51</v>
      </c>
      <c r="K216" s="1" t="s">
        <v>9</v>
      </c>
      <c r="L216">
        <v>5</v>
      </c>
      <c r="M216">
        <v>215</v>
      </c>
      <c r="N216">
        <v>44550</v>
      </c>
      <c r="O216">
        <v>33000</v>
      </c>
      <c r="P216">
        <v>11550</v>
      </c>
      <c r="Q216">
        <v>0.25925925925925919</v>
      </c>
    </row>
    <row r="217" spans="1:17" x14ac:dyDescent="0.35">
      <c r="A217">
        <v>1098</v>
      </c>
      <c r="B217">
        <v>46385</v>
      </c>
      <c r="C217" s="1" t="s">
        <v>46</v>
      </c>
      <c r="D217" s="1" t="s">
        <v>20</v>
      </c>
      <c r="E217" s="1" t="s">
        <v>21</v>
      </c>
      <c r="F217">
        <v>9</v>
      </c>
      <c r="G217">
        <v>4275</v>
      </c>
      <c r="H217">
        <v>3000</v>
      </c>
      <c r="I217">
        <v>28</v>
      </c>
      <c r="J217" s="1" t="s">
        <v>66</v>
      </c>
      <c r="K217" s="1" t="s">
        <v>9</v>
      </c>
      <c r="L217">
        <v>5</v>
      </c>
      <c r="M217">
        <v>216</v>
      </c>
      <c r="N217">
        <v>38475</v>
      </c>
      <c r="O217">
        <v>27000</v>
      </c>
      <c r="P217">
        <v>11475</v>
      </c>
      <c r="Q217">
        <v>0.2982456140350877</v>
      </c>
    </row>
    <row r="218" spans="1:17" x14ac:dyDescent="0.35">
      <c r="A218">
        <v>1098</v>
      </c>
      <c r="B218">
        <v>46385</v>
      </c>
      <c r="C218" s="1" t="s">
        <v>46</v>
      </c>
      <c r="D218" s="1" t="s">
        <v>28</v>
      </c>
      <c r="E218" s="1" t="s">
        <v>25</v>
      </c>
      <c r="F218">
        <v>2</v>
      </c>
      <c r="G218">
        <v>3200</v>
      </c>
      <c r="H218">
        <v>2100</v>
      </c>
      <c r="I218">
        <v>28</v>
      </c>
      <c r="J218" s="1" t="s">
        <v>66</v>
      </c>
      <c r="K218" s="1" t="s">
        <v>9</v>
      </c>
      <c r="L218">
        <v>11</v>
      </c>
      <c r="M218">
        <v>217</v>
      </c>
      <c r="N218">
        <v>6400</v>
      </c>
      <c r="O218">
        <v>4200</v>
      </c>
      <c r="P218">
        <v>2200</v>
      </c>
      <c r="Q218">
        <v>0.34375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57C8-6618-4972-9F2C-57EA115D6819}">
  <dimension ref="A1:E16"/>
  <sheetViews>
    <sheetView workbookViewId="0"/>
  </sheetViews>
  <sheetFormatPr defaultRowHeight="14.5" x14ac:dyDescent="0.35"/>
  <cols>
    <col min="1" max="1" width="11.54296875" bestFit="1" customWidth="1"/>
    <col min="2" max="2" width="14.6328125" bestFit="1" customWidth="1"/>
    <col min="3" max="3" width="10.54296875" bestFit="1" customWidth="1"/>
    <col min="4" max="4" width="10.7265625" bestFit="1" customWidth="1"/>
    <col min="5" max="5" width="10.36328125" bestFit="1" customWidth="1"/>
  </cols>
  <sheetData>
    <row r="1" spans="1:5" x14ac:dyDescent="0.35">
      <c r="A1" t="s">
        <v>2</v>
      </c>
      <c r="B1" t="s">
        <v>12</v>
      </c>
      <c r="C1" t="s">
        <v>13</v>
      </c>
      <c r="D1" t="s">
        <v>4</v>
      </c>
      <c r="E1" t="s">
        <v>14</v>
      </c>
    </row>
    <row r="2" spans="1:5" x14ac:dyDescent="0.35">
      <c r="A2">
        <v>1</v>
      </c>
      <c r="B2" s="1" t="s">
        <v>15</v>
      </c>
      <c r="C2" s="1" t="s">
        <v>16</v>
      </c>
      <c r="D2">
        <v>55000</v>
      </c>
      <c r="E2">
        <v>46000</v>
      </c>
    </row>
    <row r="3" spans="1:5" x14ac:dyDescent="0.35">
      <c r="A3">
        <v>2</v>
      </c>
      <c r="B3" s="1" t="s">
        <v>17</v>
      </c>
      <c r="C3" s="1" t="s">
        <v>16</v>
      </c>
      <c r="D3">
        <v>12000</v>
      </c>
      <c r="E3">
        <v>9500</v>
      </c>
    </row>
    <row r="4" spans="1:5" x14ac:dyDescent="0.35">
      <c r="A4">
        <v>3</v>
      </c>
      <c r="B4" s="1" t="s">
        <v>18</v>
      </c>
      <c r="C4" s="1" t="s">
        <v>16</v>
      </c>
      <c r="D4">
        <v>18000</v>
      </c>
      <c r="E4">
        <v>14500</v>
      </c>
    </row>
    <row r="5" spans="1:5" x14ac:dyDescent="0.35">
      <c r="A5">
        <v>4</v>
      </c>
      <c r="B5" s="1" t="s">
        <v>19</v>
      </c>
      <c r="C5" s="1" t="s">
        <v>16</v>
      </c>
      <c r="D5">
        <v>28000</v>
      </c>
      <c r="E5">
        <v>22500</v>
      </c>
    </row>
    <row r="6" spans="1:5" x14ac:dyDescent="0.35">
      <c r="A6">
        <v>5</v>
      </c>
      <c r="B6" s="1" t="s">
        <v>20</v>
      </c>
      <c r="C6" s="1" t="s">
        <v>21</v>
      </c>
      <c r="D6">
        <v>4500</v>
      </c>
      <c r="E6">
        <v>3000</v>
      </c>
    </row>
    <row r="7" spans="1:5" x14ac:dyDescent="0.35">
      <c r="A7">
        <v>6</v>
      </c>
      <c r="B7" s="1" t="s">
        <v>22</v>
      </c>
      <c r="C7" s="1" t="s">
        <v>21</v>
      </c>
      <c r="D7">
        <v>8500</v>
      </c>
      <c r="E7">
        <v>6200</v>
      </c>
    </row>
    <row r="8" spans="1:5" x14ac:dyDescent="0.35">
      <c r="A8">
        <v>7</v>
      </c>
      <c r="B8" s="1" t="s">
        <v>23</v>
      </c>
      <c r="C8" s="1" t="s">
        <v>21</v>
      </c>
      <c r="D8">
        <v>6200</v>
      </c>
      <c r="E8">
        <v>4300</v>
      </c>
    </row>
    <row r="9" spans="1:5" x14ac:dyDescent="0.35">
      <c r="A9">
        <v>8</v>
      </c>
      <c r="B9" s="1" t="s">
        <v>24</v>
      </c>
      <c r="C9" s="1" t="s">
        <v>25</v>
      </c>
      <c r="D9">
        <v>700</v>
      </c>
      <c r="E9">
        <v>400</v>
      </c>
    </row>
    <row r="10" spans="1:5" x14ac:dyDescent="0.35">
      <c r="A10">
        <v>9</v>
      </c>
      <c r="B10" s="1" t="s">
        <v>26</v>
      </c>
      <c r="C10" s="1" t="s">
        <v>25</v>
      </c>
      <c r="D10">
        <v>1500</v>
      </c>
      <c r="E10">
        <v>900</v>
      </c>
    </row>
    <row r="11" spans="1:5" x14ac:dyDescent="0.35">
      <c r="A11">
        <v>10</v>
      </c>
      <c r="B11" s="1" t="s">
        <v>27</v>
      </c>
      <c r="C11" s="1" t="s">
        <v>25</v>
      </c>
      <c r="D11">
        <v>2200</v>
      </c>
      <c r="E11">
        <v>1350</v>
      </c>
    </row>
    <row r="12" spans="1:5" x14ac:dyDescent="0.35">
      <c r="A12">
        <v>11</v>
      </c>
      <c r="B12" s="1" t="s">
        <v>28</v>
      </c>
      <c r="C12" s="1" t="s">
        <v>25</v>
      </c>
      <c r="D12">
        <v>3200</v>
      </c>
      <c r="E12">
        <v>2100</v>
      </c>
    </row>
    <row r="13" spans="1:5" x14ac:dyDescent="0.35">
      <c r="A13">
        <v>12</v>
      </c>
      <c r="B13" s="1" t="s">
        <v>29</v>
      </c>
      <c r="C13" s="1" t="s">
        <v>30</v>
      </c>
      <c r="D13">
        <v>4800</v>
      </c>
      <c r="E13">
        <v>3400</v>
      </c>
    </row>
    <row r="14" spans="1:5" x14ac:dyDescent="0.35">
      <c r="A14">
        <v>13</v>
      </c>
      <c r="B14" s="1" t="s">
        <v>31</v>
      </c>
      <c r="C14" s="1" t="s">
        <v>30</v>
      </c>
      <c r="D14">
        <v>9500</v>
      </c>
      <c r="E14">
        <v>7100</v>
      </c>
    </row>
    <row r="15" spans="1:5" x14ac:dyDescent="0.35">
      <c r="A15">
        <v>14</v>
      </c>
      <c r="B15" s="1" t="s">
        <v>32</v>
      </c>
      <c r="C15" s="1" t="s">
        <v>33</v>
      </c>
      <c r="D15">
        <v>6500</v>
      </c>
      <c r="E15">
        <v>4700</v>
      </c>
    </row>
    <row r="16" spans="1:5" x14ac:dyDescent="0.35">
      <c r="A16">
        <v>15</v>
      </c>
      <c r="B16" s="1" t="s">
        <v>34</v>
      </c>
      <c r="C16" s="1" t="s">
        <v>33</v>
      </c>
      <c r="D16">
        <v>900</v>
      </c>
      <c r="E16">
        <v>450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B112-42B9-41E4-BE97-8F8DAB02B4B3}">
  <dimension ref="A3:G10"/>
  <sheetViews>
    <sheetView workbookViewId="0">
      <selection activeCell="A3" sqref="A3"/>
    </sheetView>
  </sheetViews>
  <sheetFormatPr defaultRowHeight="14.5" x14ac:dyDescent="0.35"/>
  <cols>
    <col min="1" max="1" width="19.1796875" bestFit="1" customWidth="1"/>
    <col min="2" max="2" width="15.26953125" bestFit="1" customWidth="1"/>
    <col min="3" max="5" width="13.90625" bestFit="1" customWidth="1"/>
    <col min="6" max="6" width="12.90625" bestFit="1" customWidth="1"/>
    <col min="7" max="7" width="15.453125" bestFit="1" customWidth="1"/>
  </cols>
  <sheetData>
    <row r="3" spans="1:7" x14ac:dyDescent="0.35">
      <c r="A3" s="14" t="s">
        <v>109</v>
      </c>
      <c r="B3" s="14" t="s">
        <v>115</v>
      </c>
    </row>
    <row r="4" spans="1:7" x14ac:dyDescent="0.35">
      <c r="A4" s="14" t="s">
        <v>107</v>
      </c>
      <c r="B4" t="s">
        <v>21</v>
      </c>
      <c r="C4" t="s">
        <v>25</v>
      </c>
      <c r="D4" t="s">
        <v>16</v>
      </c>
      <c r="E4" t="s">
        <v>30</v>
      </c>
      <c r="F4" t="s">
        <v>33</v>
      </c>
      <c r="G4" t="s">
        <v>108</v>
      </c>
    </row>
    <row r="5" spans="1:7" x14ac:dyDescent="0.35">
      <c r="A5" s="15" t="s">
        <v>46</v>
      </c>
      <c r="B5" s="3">
        <v>1101120</v>
      </c>
      <c r="C5" s="3">
        <v>440990</v>
      </c>
      <c r="D5" s="3">
        <v>938905</v>
      </c>
      <c r="E5" s="3">
        <v>38400</v>
      </c>
      <c r="F5" s="3">
        <v>47450</v>
      </c>
      <c r="G5" s="3">
        <v>2566865</v>
      </c>
    </row>
    <row r="6" spans="1:7" x14ac:dyDescent="0.35">
      <c r="A6" s="15" t="s">
        <v>65</v>
      </c>
      <c r="B6" s="3">
        <v>407470</v>
      </c>
      <c r="C6" s="3">
        <v>646160</v>
      </c>
      <c r="D6" s="3">
        <v>1262700</v>
      </c>
      <c r="E6" s="3">
        <v>102000</v>
      </c>
      <c r="F6" s="3">
        <v>430800</v>
      </c>
      <c r="G6" s="3">
        <v>2849130</v>
      </c>
    </row>
    <row r="7" spans="1:7" x14ac:dyDescent="0.35">
      <c r="A7" s="15" t="s">
        <v>43</v>
      </c>
      <c r="B7" s="3">
        <v>370090</v>
      </c>
      <c r="C7" s="3">
        <v>960640</v>
      </c>
      <c r="D7" s="3">
        <v>1229240</v>
      </c>
      <c r="E7" s="3">
        <v>624865</v>
      </c>
      <c r="F7" s="3">
        <v>166800</v>
      </c>
      <c r="G7" s="3">
        <v>3351635</v>
      </c>
    </row>
    <row r="8" spans="1:7" x14ac:dyDescent="0.35">
      <c r="A8" s="15" t="s">
        <v>57</v>
      </c>
      <c r="B8" s="3">
        <v>642500</v>
      </c>
      <c r="C8" s="3">
        <v>287720</v>
      </c>
      <c r="D8" s="3">
        <v>1304930</v>
      </c>
      <c r="E8" s="3">
        <v>420950</v>
      </c>
      <c r="F8" s="3">
        <v>123795</v>
      </c>
      <c r="G8" s="3">
        <v>2779895</v>
      </c>
    </row>
    <row r="9" spans="1:7" x14ac:dyDescent="0.35">
      <c r="A9" s="15" t="s">
        <v>40</v>
      </c>
      <c r="B9" s="3">
        <v>434840</v>
      </c>
      <c r="C9" s="3">
        <v>564000</v>
      </c>
      <c r="D9" s="3">
        <v>2630185</v>
      </c>
      <c r="E9" s="3">
        <v>391435</v>
      </c>
      <c r="F9" s="3">
        <v>143130</v>
      </c>
      <c r="G9" s="3">
        <v>4163590</v>
      </c>
    </row>
    <row r="10" spans="1:7" x14ac:dyDescent="0.35">
      <c r="A10" s="15" t="s">
        <v>108</v>
      </c>
      <c r="B10" s="3">
        <v>2956020</v>
      </c>
      <c r="C10" s="3">
        <v>2899510</v>
      </c>
      <c r="D10" s="3">
        <v>7365960</v>
      </c>
      <c r="E10" s="3">
        <v>1577650</v>
      </c>
      <c r="F10" s="3">
        <v>911975</v>
      </c>
      <c r="G10" s="3">
        <v>15711115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2C15-5A2A-48A0-92B2-4AD93C07C562}">
  <dimension ref="A1:M101"/>
  <sheetViews>
    <sheetView tabSelected="1" workbookViewId="0">
      <selection activeCell="N14" sqref="N14"/>
    </sheetView>
  </sheetViews>
  <sheetFormatPr defaultRowHeight="14.5" x14ac:dyDescent="0.35"/>
  <cols>
    <col min="1" max="1" width="9.81640625" bestFit="1" customWidth="1"/>
    <col min="2" max="2" width="13.08984375" bestFit="1" customWidth="1"/>
    <col min="3" max="3" width="12" bestFit="1" customWidth="1"/>
    <col min="4" max="4" width="13.26953125" bestFit="1" customWidth="1"/>
    <col min="5" max="6" width="12.6328125" style="3" bestFit="1" customWidth="1"/>
    <col min="7" max="7" width="11.7265625" style="4" bestFit="1" customWidth="1"/>
    <col min="8" max="8" width="8.7265625" style="2"/>
  </cols>
  <sheetData>
    <row r="1" spans="1:13" x14ac:dyDescent="0.35">
      <c r="A1" t="s">
        <v>1</v>
      </c>
      <c r="B1" t="s">
        <v>5</v>
      </c>
      <c r="C1" t="s">
        <v>6</v>
      </c>
      <c r="D1" t="s">
        <v>7</v>
      </c>
      <c r="E1" s="6" t="s">
        <v>104</v>
      </c>
      <c r="F1" s="6" t="s">
        <v>105</v>
      </c>
      <c r="G1" s="7" t="s">
        <v>93</v>
      </c>
      <c r="H1" s="8" t="s">
        <v>94</v>
      </c>
      <c r="I1" s="9" t="s">
        <v>106</v>
      </c>
      <c r="J1" s="9" t="s">
        <v>37</v>
      </c>
      <c r="K1" s="9" t="s">
        <v>3</v>
      </c>
      <c r="L1" s="9" t="s">
        <v>13</v>
      </c>
      <c r="M1" s="9" t="s">
        <v>114</v>
      </c>
    </row>
    <row r="2" spans="1:13" x14ac:dyDescent="0.35">
      <c r="A2">
        <v>1021</v>
      </c>
      <c r="B2">
        <v>5</v>
      </c>
      <c r="C2">
        <v>46026</v>
      </c>
      <c r="D2" s="1" t="s">
        <v>8</v>
      </c>
      <c r="E2" s="10">
        <f>SUMIF(SalesData[OrderID],Orders[[#This Row],[OrderID]],SalesData[Revenue])</f>
        <v>121300</v>
      </c>
      <c r="F2" s="10">
        <f>SUMIF(SalesData[OrderID],Orders[[#This Row],[OrderID]],SalesData[TotalCost])</f>
        <v>91400</v>
      </c>
      <c r="G2" s="11">
        <f>SUMIF(SalesData[OrderID],Orders[[#This Row],[OrderID]],SalesData[Profit])</f>
        <v>29900</v>
      </c>
      <c r="H2" s="12">
        <f>AVERAGEIF(SalesData[OrderID],Orders[[#This Row],[OrderID]],SalesData[ProfitMargin])</f>
        <v>0.25897435897435894</v>
      </c>
      <c r="I2" s="13" t="str">
        <f>IF(Orders[[#This Row],[Profit]]&gt;10000,"High Profit","Standard Profit")</f>
        <v>High Profit</v>
      </c>
      <c r="J2" s="13" t="str">
        <f>_xlfn.XLOOKUP(Orders[[#This Row],[OrderID]],SalesData[OrderID],SalesData[Region],"Not Found")</f>
        <v>North</v>
      </c>
      <c r="K2" s="13">
        <f>SUMIF(SalesData[OrderID],Orders[[#This Row],[OrderID]],SalesData[Quantity])</f>
        <v>16</v>
      </c>
      <c r="L2" s="13" t="str">
        <f>_xlfn.XLOOKUP(Orders[[#This Row],[OrderID]],SalesData[OrderID],SalesData[Category],"Not Found")</f>
        <v>Storage</v>
      </c>
      <c r="M2" s="16">
        <f>_xlfn.XLOOKUP(Orders[[#This Row],[Category]],ProductMaster[Category],ProductMaster[UnitCost],"Not Found")</f>
        <v>4700</v>
      </c>
    </row>
    <row r="3" spans="1:13" x14ac:dyDescent="0.35">
      <c r="A3">
        <v>1023</v>
      </c>
      <c r="B3">
        <v>22</v>
      </c>
      <c r="C3">
        <v>46039</v>
      </c>
      <c r="D3" s="1" t="s">
        <v>9</v>
      </c>
      <c r="E3" s="10">
        <f>SUMIF(SalesData[OrderID],Orders[[#This Row],[OrderID]],SalesData[Revenue])</f>
        <v>222600</v>
      </c>
      <c r="F3" s="10">
        <f>SUMIF(SalesData[OrderID],Orders[[#This Row],[OrderID]],SalesData[TotalCost])</f>
        <v>181400</v>
      </c>
      <c r="G3" s="11">
        <f>SUMIF(SalesData[OrderID],Orders[[#This Row],[OrderID]],SalesData[Profit])</f>
        <v>41200</v>
      </c>
      <c r="H3" s="12">
        <f>AVERAGEIF(SalesData[OrderID],Orders[[#This Row],[OrderID]],SalesData[ProfitMargin])</f>
        <v>0.29512670565302146</v>
      </c>
      <c r="I3" s="13" t="str">
        <f>IF(Orders[[#This Row],[Profit]]&gt;10000,"High Profit","Standard Profit")</f>
        <v>High Profit</v>
      </c>
      <c r="J3" s="13" t="str">
        <f>_xlfn.XLOOKUP(Orders[[#This Row],[OrderID]],SalesData[OrderID],SalesData[Region],"Not Found")</f>
        <v>East</v>
      </c>
      <c r="K3" s="13">
        <f>SUMIF(SalesData[OrderID],Orders[[#This Row],[OrderID]],SalesData[Quantity])</f>
        <v>26</v>
      </c>
      <c r="L3" s="13" t="str">
        <f>_xlfn.XLOOKUP(Orders[[#This Row],[OrderID]],SalesData[OrderID],SalesData[Category],"Not Found")</f>
        <v>Furniture</v>
      </c>
      <c r="M3" s="16">
        <f>_xlfn.XLOOKUP(Orders[[#This Row],[Category]],ProductMaster[Category],ProductMaster[UnitCost],"Not Found")</f>
        <v>3000</v>
      </c>
    </row>
    <row r="4" spans="1:13" x14ac:dyDescent="0.35">
      <c r="A4">
        <v>1085</v>
      </c>
      <c r="B4">
        <v>31</v>
      </c>
      <c r="C4">
        <v>46042</v>
      </c>
      <c r="D4" s="1" t="s">
        <v>9</v>
      </c>
      <c r="E4" s="10">
        <f>SUMIF(SalesData[OrderID],Orders[[#This Row],[OrderID]],SalesData[Revenue])</f>
        <v>65120</v>
      </c>
      <c r="F4" s="10">
        <f>SUMIF(SalesData[OrderID],Orders[[#This Row],[OrderID]],SalesData[TotalCost])</f>
        <v>44350</v>
      </c>
      <c r="G4" s="11">
        <f>SUMIF(SalesData[OrderID],Orders[[#This Row],[OrderID]],SalesData[Profit])</f>
        <v>20770</v>
      </c>
      <c r="H4" s="12">
        <f>AVERAGEIF(SalesData[OrderID],Orders[[#This Row],[OrderID]],SalesData[ProfitMargin])</f>
        <v>0.3193222548061258</v>
      </c>
      <c r="I4" s="13" t="str">
        <f>IF(Orders[[#This Row],[Profit]]&gt;10000,"High Profit","Standard Profit")</f>
        <v>High Profit</v>
      </c>
      <c r="J4" s="13" t="str">
        <f>_xlfn.XLOOKUP(Orders[[#This Row],[OrderID]],SalesData[OrderID],SalesData[Region],"Not Found")</f>
        <v>West</v>
      </c>
      <c r="K4" s="13">
        <f>SUMIF(SalesData[OrderID],Orders[[#This Row],[OrderID]],SalesData[Quantity])</f>
        <v>18</v>
      </c>
      <c r="L4" s="13" t="str">
        <f>_xlfn.XLOOKUP(Orders[[#This Row],[OrderID]],SalesData[OrderID],SalesData[Category],"Not Found")</f>
        <v>Accessories</v>
      </c>
      <c r="M4" s="16">
        <f>_xlfn.XLOOKUP(Orders[[#This Row],[Category]],ProductMaster[Category],ProductMaster[UnitCost],"Not Found")</f>
        <v>400</v>
      </c>
    </row>
    <row r="5" spans="1:13" x14ac:dyDescent="0.35">
      <c r="A5">
        <v>1051</v>
      </c>
      <c r="B5">
        <v>6</v>
      </c>
      <c r="C5">
        <v>46043</v>
      </c>
      <c r="D5" s="1" t="s">
        <v>9</v>
      </c>
      <c r="E5" s="10">
        <f>SUMIF(SalesData[OrderID],Orders[[#This Row],[OrderID]],SalesData[Revenue])</f>
        <v>118420</v>
      </c>
      <c r="F5" s="10">
        <f>SUMIF(SalesData[OrderID],Orders[[#This Row],[OrderID]],SalesData[TotalCost])</f>
        <v>83400</v>
      </c>
      <c r="G5" s="11">
        <f>SUMIF(SalesData[OrderID],Orders[[#This Row],[OrderID]],SalesData[Profit])</f>
        <v>35020</v>
      </c>
      <c r="H5" s="12">
        <f>AVERAGEIF(SalesData[OrderID],Orders[[#This Row],[OrderID]],SalesData[ProfitMargin])</f>
        <v>0.32205413265784782</v>
      </c>
      <c r="I5" s="13" t="str">
        <f>IF(Orders[[#This Row],[Profit]]&gt;10000,"High Profit","Standard Profit")</f>
        <v>High Profit</v>
      </c>
      <c r="J5" s="13" t="str">
        <f>_xlfn.XLOOKUP(Orders[[#This Row],[OrderID]],SalesData[OrderID],SalesData[Region],"Not Found")</f>
        <v>Central</v>
      </c>
      <c r="K5" s="13">
        <f>SUMIF(SalesData[OrderID],Orders[[#This Row],[OrderID]],SalesData[Quantity])</f>
        <v>25</v>
      </c>
      <c r="L5" s="13" t="str">
        <f>_xlfn.XLOOKUP(Orders[[#This Row],[OrderID]],SalesData[OrderID],SalesData[Category],"Not Found")</f>
        <v>Accessories</v>
      </c>
      <c r="M5" s="16">
        <f>_xlfn.XLOOKUP(Orders[[#This Row],[Category]],ProductMaster[Category],ProductMaster[UnitCost],"Not Found")</f>
        <v>400</v>
      </c>
    </row>
    <row r="6" spans="1:13" x14ac:dyDescent="0.35">
      <c r="A6">
        <v>1077</v>
      </c>
      <c r="B6">
        <v>23</v>
      </c>
      <c r="C6">
        <v>46043</v>
      </c>
      <c r="D6" s="1" t="s">
        <v>9</v>
      </c>
      <c r="E6" s="10">
        <f>SUMIF(SalesData[OrderID],Orders[[#This Row],[OrderID]],SalesData[Revenue])</f>
        <v>190000</v>
      </c>
      <c r="F6" s="10">
        <f>SUMIF(SalesData[OrderID],Orders[[#This Row],[OrderID]],SalesData[TotalCost])</f>
        <v>152600</v>
      </c>
      <c r="G6" s="11">
        <f>SUMIF(SalesData[OrderID],Orders[[#This Row],[OrderID]],SalesData[Profit])</f>
        <v>37400</v>
      </c>
      <c r="H6" s="12">
        <f>AVERAGEIF(SalesData[OrderID],Orders[[#This Row],[OrderID]],SalesData[ProfitMargin])</f>
        <v>0.21952160493827164</v>
      </c>
      <c r="I6" s="13" t="str">
        <f>IF(Orders[[#This Row],[Profit]]&gt;10000,"High Profit","Standard Profit")</f>
        <v>High Profit</v>
      </c>
      <c r="J6" s="13" t="str">
        <f>_xlfn.XLOOKUP(Orders[[#This Row],[OrderID]],SalesData[OrderID],SalesData[Region],"Not Found")</f>
        <v>South</v>
      </c>
      <c r="K6" s="13">
        <f>SUMIF(SalesData[OrderID],Orders[[#This Row],[OrderID]],SalesData[Quantity])</f>
        <v>22</v>
      </c>
      <c r="L6" s="13" t="str">
        <f>_xlfn.XLOOKUP(Orders[[#This Row],[OrderID]],SalesData[OrderID],SalesData[Category],"Not Found")</f>
        <v>Electronics</v>
      </c>
      <c r="M6" s="16">
        <f>_xlfn.XLOOKUP(Orders[[#This Row],[Category]],ProductMaster[Category],ProductMaster[UnitCost],"Not Found")</f>
        <v>46000</v>
      </c>
    </row>
    <row r="7" spans="1:13" x14ac:dyDescent="0.35">
      <c r="A7">
        <v>1076</v>
      </c>
      <c r="B7">
        <v>20</v>
      </c>
      <c r="C7">
        <v>46044</v>
      </c>
      <c r="D7" s="1" t="s">
        <v>9</v>
      </c>
      <c r="E7" s="10">
        <f>SUMIF(SalesData[OrderID],Orders[[#This Row],[OrderID]],SalesData[Revenue])</f>
        <v>15200</v>
      </c>
      <c r="F7" s="10">
        <f>SUMIF(SalesData[OrderID],Orders[[#This Row],[OrderID]],SalesData[TotalCost])</f>
        <v>10500</v>
      </c>
      <c r="G7" s="11">
        <f>SUMIF(SalesData[OrderID],Orders[[#This Row],[OrderID]],SalesData[Profit])</f>
        <v>4700</v>
      </c>
      <c r="H7" s="12">
        <f>AVERAGEIF(SalesData[OrderID],Orders[[#This Row],[OrderID]],SalesData[ProfitMargin])</f>
        <v>0.30921052631578949</v>
      </c>
      <c r="I7" s="13" t="str">
        <f>IF(Orders[[#This Row],[Profit]]&gt;10000,"High Profit","Standard Profit")</f>
        <v>Standard Profit</v>
      </c>
      <c r="J7" s="13" t="str">
        <f>_xlfn.XLOOKUP(Orders[[#This Row],[OrderID]],SalesData[OrderID],SalesData[Region],"Not Found")</f>
        <v>South</v>
      </c>
      <c r="K7" s="13">
        <f>SUMIF(SalesData[OrderID],Orders[[#This Row],[OrderID]],SalesData[Quantity])</f>
        <v>5</v>
      </c>
      <c r="L7" s="13" t="str">
        <f>_xlfn.XLOOKUP(Orders[[#This Row],[OrderID]],SalesData[OrderID],SalesData[Category],"Not Found")</f>
        <v>Accessories</v>
      </c>
      <c r="M7" s="16">
        <f>_xlfn.XLOOKUP(Orders[[#This Row],[Category]],ProductMaster[Category],ProductMaster[UnitCost],"Not Found")</f>
        <v>400</v>
      </c>
    </row>
    <row r="8" spans="1:13" x14ac:dyDescent="0.35">
      <c r="A8">
        <v>1030</v>
      </c>
      <c r="B8">
        <v>7</v>
      </c>
      <c r="C8">
        <v>46050</v>
      </c>
      <c r="D8" s="1" t="s">
        <v>9</v>
      </c>
      <c r="E8" s="10">
        <f>SUMIF(SalesData[OrderID],Orders[[#This Row],[OrderID]],SalesData[Revenue])</f>
        <v>16200</v>
      </c>
      <c r="F8" s="10">
        <f>SUMIF(SalesData[OrderID],Orders[[#This Row],[OrderID]],SalesData[TotalCost])</f>
        <v>14500</v>
      </c>
      <c r="G8" s="11">
        <f>SUMIF(SalesData[OrderID],Orders[[#This Row],[OrderID]],SalesData[Profit])</f>
        <v>1700</v>
      </c>
      <c r="H8" s="12">
        <f>AVERAGEIF(SalesData[OrderID],Orders[[#This Row],[OrderID]],SalesData[ProfitMargin])</f>
        <v>0.10493827160493829</v>
      </c>
      <c r="I8" s="13" t="str">
        <f>IF(Orders[[#This Row],[Profit]]&gt;10000,"High Profit","Standard Profit")</f>
        <v>Standard Profit</v>
      </c>
      <c r="J8" s="13" t="str">
        <f>_xlfn.XLOOKUP(Orders[[#This Row],[OrderID]],SalesData[OrderID],SalesData[Region],"Not Found")</f>
        <v>North</v>
      </c>
      <c r="K8" s="13">
        <f>SUMIF(SalesData[OrderID],Orders[[#This Row],[OrderID]],SalesData[Quantity])</f>
        <v>1</v>
      </c>
      <c r="L8" s="13" t="str">
        <f>_xlfn.XLOOKUP(Orders[[#This Row],[OrderID]],SalesData[OrderID],SalesData[Category],"Not Found")</f>
        <v>Electronics</v>
      </c>
      <c r="M8" s="16">
        <f>_xlfn.XLOOKUP(Orders[[#This Row],[Category]],ProductMaster[Category],ProductMaster[UnitCost],"Not Found")</f>
        <v>46000</v>
      </c>
    </row>
    <row r="9" spans="1:13" x14ac:dyDescent="0.35">
      <c r="A9">
        <v>1045</v>
      </c>
      <c r="B9">
        <v>4</v>
      </c>
      <c r="C9">
        <v>46052</v>
      </c>
      <c r="D9" s="1" t="s">
        <v>9</v>
      </c>
      <c r="E9" s="10">
        <f>SUMIF(SalesData[OrderID],Orders[[#This Row],[OrderID]],SalesData[Revenue])</f>
        <v>6300</v>
      </c>
      <c r="F9" s="10">
        <f>SUMIF(SalesData[OrderID],Orders[[#This Row],[OrderID]],SalesData[TotalCost])</f>
        <v>4000</v>
      </c>
      <c r="G9" s="11">
        <f>SUMIF(SalesData[OrderID],Orders[[#This Row],[OrderID]],SalesData[Profit])</f>
        <v>2300</v>
      </c>
      <c r="H9" s="12">
        <f>AVERAGEIF(SalesData[OrderID],Orders[[#This Row],[OrderID]],SalesData[ProfitMargin])</f>
        <v>0.36507936507936511</v>
      </c>
      <c r="I9" s="13" t="str">
        <f>IF(Orders[[#This Row],[Profit]]&gt;10000,"High Profit","Standard Profit")</f>
        <v>Standard Profit</v>
      </c>
      <c r="J9" s="13" t="str">
        <f>_xlfn.XLOOKUP(Orders[[#This Row],[OrderID]],SalesData[OrderID],SalesData[Region],"Not Found")</f>
        <v>West</v>
      </c>
      <c r="K9" s="13">
        <f>SUMIF(SalesData[OrderID],Orders[[#This Row],[OrderID]],SalesData[Quantity])</f>
        <v>10</v>
      </c>
      <c r="L9" s="13" t="str">
        <f>_xlfn.XLOOKUP(Orders[[#This Row],[OrderID]],SalesData[OrderID],SalesData[Category],"Not Found")</f>
        <v>Accessories</v>
      </c>
      <c r="M9" s="16">
        <f>_xlfn.XLOOKUP(Orders[[#This Row],[Category]],ProductMaster[Category],ProductMaster[UnitCost],"Not Found")</f>
        <v>400</v>
      </c>
    </row>
    <row r="10" spans="1:13" x14ac:dyDescent="0.35">
      <c r="A10">
        <v>1022</v>
      </c>
      <c r="B10">
        <v>15</v>
      </c>
      <c r="C10">
        <v>46053</v>
      </c>
      <c r="D10" s="1" t="s">
        <v>9</v>
      </c>
      <c r="E10" s="10">
        <f>SUMIF(SalesData[OrderID],Orders[[#This Row],[OrderID]],SalesData[Revenue])</f>
        <v>97300</v>
      </c>
      <c r="F10" s="10">
        <f>SUMIF(SalesData[OrderID],Orders[[#This Row],[OrderID]],SalesData[TotalCost])</f>
        <v>68200</v>
      </c>
      <c r="G10" s="11">
        <f>SUMIF(SalesData[OrderID],Orders[[#This Row],[OrderID]],SalesData[Profit])</f>
        <v>29100</v>
      </c>
      <c r="H10" s="12">
        <f>AVERAGEIF(SalesData[OrderID],Orders[[#This Row],[OrderID]],SalesData[ProfitMargin])</f>
        <v>0.30684953310696095</v>
      </c>
      <c r="I10" s="13" t="str">
        <f>IF(Orders[[#This Row],[Profit]]&gt;10000,"High Profit","Standard Profit")</f>
        <v>High Profit</v>
      </c>
      <c r="J10" s="13" t="str">
        <f>_xlfn.XLOOKUP(Orders[[#This Row],[OrderID]],SalesData[OrderID],SalesData[Region],"Not Found")</f>
        <v>Central</v>
      </c>
      <c r="K10" s="13">
        <f>SUMIF(SalesData[OrderID],Orders[[#This Row],[OrderID]],SalesData[Quantity])</f>
        <v>22</v>
      </c>
      <c r="L10" s="13" t="str">
        <f>_xlfn.XLOOKUP(Orders[[#This Row],[OrderID]],SalesData[OrderID],SalesData[Category],"Not Found")</f>
        <v>Furniture</v>
      </c>
      <c r="M10" s="16">
        <f>_xlfn.XLOOKUP(Orders[[#This Row],[Category]],ProductMaster[Category],ProductMaster[UnitCost],"Not Found")</f>
        <v>3000</v>
      </c>
    </row>
    <row r="11" spans="1:13" x14ac:dyDescent="0.35">
      <c r="A11">
        <v>1039</v>
      </c>
      <c r="B11">
        <v>11</v>
      </c>
      <c r="C11">
        <v>46053</v>
      </c>
      <c r="D11" s="1" t="s">
        <v>9</v>
      </c>
      <c r="E11" s="10">
        <f>SUMIF(SalesData[OrderID],Orders[[#This Row],[OrderID]],SalesData[Revenue])</f>
        <v>72740</v>
      </c>
      <c r="F11" s="10">
        <f>SUMIF(SalesData[OrderID],Orders[[#This Row],[OrderID]],SalesData[TotalCost])</f>
        <v>57900</v>
      </c>
      <c r="G11" s="11">
        <f>SUMIF(SalesData[OrderID],Orders[[#This Row],[OrderID]],SalesData[Profit])</f>
        <v>14840</v>
      </c>
      <c r="H11" s="12">
        <f>AVERAGEIF(SalesData[OrderID],Orders[[#This Row],[OrderID]],SalesData[ProfitMargin])</f>
        <v>0.21290962621607779</v>
      </c>
      <c r="I11" s="13" t="str">
        <f>IF(Orders[[#This Row],[Profit]]&gt;10000,"High Profit","Standard Profit")</f>
        <v>High Profit</v>
      </c>
      <c r="J11" s="13" t="str">
        <f>_xlfn.XLOOKUP(Orders[[#This Row],[OrderID]],SalesData[OrderID],SalesData[Region],"Not Found")</f>
        <v>West</v>
      </c>
      <c r="K11" s="13">
        <f>SUMIF(SalesData[OrderID],Orders[[#This Row],[OrderID]],SalesData[Quantity])</f>
        <v>5</v>
      </c>
      <c r="L11" s="13" t="str">
        <f>_xlfn.XLOOKUP(Orders[[#This Row],[OrderID]],SalesData[OrderID],SalesData[Category],"Not Found")</f>
        <v>Furniture</v>
      </c>
      <c r="M11" s="16">
        <f>_xlfn.XLOOKUP(Orders[[#This Row],[Category]],ProductMaster[Category],ProductMaster[UnitCost],"Not Found")</f>
        <v>3000</v>
      </c>
    </row>
    <row r="12" spans="1:13" x14ac:dyDescent="0.35">
      <c r="A12">
        <v>1048</v>
      </c>
      <c r="B12">
        <v>5</v>
      </c>
      <c r="C12">
        <v>46058</v>
      </c>
      <c r="D12" s="1" t="s">
        <v>8</v>
      </c>
      <c r="E12" s="10">
        <f>SUMIF(SalesData[OrderID],Orders[[#This Row],[OrderID]],SalesData[Revenue])</f>
        <v>216000</v>
      </c>
      <c r="F12" s="10">
        <f>SUMIF(SalesData[OrderID],Orders[[#This Row],[OrderID]],SalesData[TotalCost])</f>
        <v>174000</v>
      </c>
      <c r="G12" s="11">
        <f>SUMIF(SalesData[OrderID],Orders[[#This Row],[OrderID]],SalesData[Profit])</f>
        <v>42000</v>
      </c>
      <c r="H12" s="12">
        <f>AVERAGEIF(SalesData[OrderID],Orders[[#This Row],[OrderID]],SalesData[ProfitMargin])</f>
        <v>0.19444444444444439</v>
      </c>
      <c r="I12" s="13" t="str">
        <f>IF(Orders[[#This Row],[Profit]]&gt;10000,"High Profit","Standard Profit")</f>
        <v>High Profit</v>
      </c>
      <c r="J12" s="13" t="str">
        <f>_xlfn.XLOOKUP(Orders[[#This Row],[OrderID]],SalesData[OrderID],SalesData[Region],"Not Found")</f>
        <v>North</v>
      </c>
      <c r="K12" s="13">
        <f>SUMIF(SalesData[OrderID],Orders[[#This Row],[OrderID]],SalesData[Quantity])</f>
        <v>12</v>
      </c>
      <c r="L12" s="13" t="str">
        <f>_xlfn.XLOOKUP(Orders[[#This Row],[OrderID]],SalesData[OrderID],SalesData[Category],"Not Found")</f>
        <v>Electronics</v>
      </c>
      <c r="M12" s="16">
        <f>_xlfn.XLOOKUP(Orders[[#This Row],[Category]],ProductMaster[Category],ProductMaster[UnitCost],"Not Found")</f>
        <v>46000</v>
      </c>
    </row>
    <row r="13" spans="1:13" x14ac:dyDescent="0.35">
      <c r="A13">
        <v>1089</v>
      </c>
      <c r="B13">
        <v>18</v>
      </c>
      <c r="C13">
        <v>46058</v>
      </c>
      <c r="D13" s="1" t="s">
        <v>9</v>
      </c>
      <c r="E13" s="10">
        <f>SUMIF(SalesData[OrderID],Orders[[#This Row],[OrderID]],SalesData[Revenue])</f>
        <v>209400</v>
      </c>
      <c r="F13" s="10">
        <f>SUMIF(SalesData[OrderID],Orders[[#This Row],[OrderID]],SalesData[TotalCost])</f>
        <v>191200</v>
      </c>
      <c r="G13" s="11">
        <f>SUMIF(SalesData[OrderID],Orders[[#This Row],[OrderID]],SalesData[Profit])</f>
        <v>18200</v>
      </c>
      <c r="H13" s="12">
        <f>AVERAGEIF(SalesData[OrderID],Orders[[#This Row],[OrderID]],SalesData[ProfitMargin])</f>
        <v>0.21956406166932482</v>
      </c>
      <c r="I13" s="13" t="str">
        <f>IF(Orders[[#This Row],[Profit]]&gt;10000,"High Profit","Standard Profit")</f>
        <v>High Profit</v>
      </c>
      <c r="J13" s="13" t="str">
        <f>_xlfn.XLOOKUP(Orders[[#This Row],[OrderID]],SalesData[OrderID],SalesData[Region],"Not Found")</f>
        <v>East</v>
      </c>
      <c r="K13" s="13">
        <f>SUMIF(SalesData[OrderID],Orders[[#This Row],[OrderID]],SalesData[Quantity])</f>
        <v>12</v>
      </c>
      <c r="L13" s="13" t="str">
        <f>_xlfn.XLOOKUP(Orders[[#This Row],[OrderID]],SalesData[OrderID],SalesData[Category],"Not Found")</f>
        <v>Electronics</v>
      </c>
      <c r="M13" s="16">
        <f>_xlfn.XLOOKUP(Orders[[#This Row],[Category]],ProductMaster[Category],ProductMaster[UnitCost],"Not Found")</f>
        <v>46000</v>
      </c>
    </row>
    <row r="14" spans="1:13" x14ac:dyDescent="0.35">
      <c r="A14">
        <v>1100</v>
      </c>
      <c r="B14">
        <v>22</v>
      </c>
      <c r="C14">
        <v>46058</v>
      </c>
      <c r="D14" s="1" t="s">
        <v>8</v>
      </c>
      <c r="E14" s="10">
        <f>SUMIF(SalesData[OrderID],Orders[[#This Row],[OrderID]],SalesData[Revenue])</f>
        <v>37800</v>
      </c>
      <c r="F14" s="10">
        <f>SUMIF(SalesData[OrderID],Orders[[#This Row],[OrderID]],SalesData[TotalCost])</f>
        <v>24300</v>
      </c>
      <c r="G14" s="11">
        <f>SUMIF(SalesData[OrderID],Orders[[#This Row],[OrderID]],SalesData[Profit])</f>
        <v>13500</v>
      </c>
      <c r="H14" s="12">
        <f>AVERAGEIF(SalesData[OrderID],Orders[[#This Row],[OrderID]],SalesData[ProfitMargin])</f>
        <v>0.37187500000000001</v>
      </c>
      <c r="I14" s="13" t="str">
        <f>IF(Orders[[#This Row],[Profit]]&gt;10000,"High Profit","Standard Profit")</f>
        <v>High Profit</v>
      </c>
      <c r="J14" s="13" t="str">
        <f>_xlfn.XLOOKUP(Orders[[#This Row],[OrderID]],SalesData[OrderID],SalesData[Region],"Not Found")</f>
        <v>East</v>
      </c>
      <c r="K14" s="13">
        <f>SUMIF(SalesData[OrderID],Orders[[#This Row],[OrderID]],SalesData[Quantity])</f>
        <v>15</v>
      </c>
      <c r="L14" s="13" t="str">
        <f>_xlfn.XLOOKUP(Orders[[#This Row],[OrderID]],SalesData[OrderID],SalesData[Category],"Not Found")</f>
        <v>Accessories</v>
      </c>
      <c r="M14" s="16">
        <f>_xlfn.XLOOKUP(Orders[[#This Row],[Category]],ProductMaster[Category],ProductMaster[UnitCost],"Not Found")</f>
        <v>400</v>
      </c>
    </row>
    <row r="15" spans="1:13" x14ac:dyDescent="0.35">
      <c r="A15">
        <v>1056</v>
      </c>
      <c r="B15">
        <v>1</v>
      </c>
      <c r="C15">
        <v>46060</v>
      </c>
      <c r="D15" s="1" t="s">
        <v>9</v>
      </c>
      <c r="E15" s="10">
        <f>SUMIF(SalesData[OrderID],Orders[[#This Row],[OrderID]],SalesData[Revenue])</f>
        <v>99980</v>
      </c>
      <c r="F15" s="10">
        <f>SUMIF(SalesData[OrderID],Orders[[#This Row],[OrderID]],SalesData[TotalCost])</f>
        <v>70900</v>
      </c>
      <c r="G15" s="11">
        <f>SUMIF(SalesData[OrderID],Orders[[#This Row],[OrderID]],SalesData[Profit])</f>
        <v>29080</v>
      </c>
      <c r="H15" s="12">
        <f>AVERAGEIF(SalesData[OrderID],Orders[[#This Row],[OrderID]],SalesData[ProfitMargin])</f>
        <v>0.31043634727845254</v>
      </c>
      <c r="I15" s="13" t="str">
        <f>IF(Orders[[#This Row],[Profit]]&gt;10000,"High Profit","Standard Profit")</f>
        <v>High Profit</v>
      </c>
      <c r="J15" s="13" t="str">
        <f>_xlfn.XLOOKUP(Orders[[#This Row],[OrderID]],SalesData[OrderID],SalesData[Region],"Not Found")</f>
        <v>West</v>
      </c>
      <c r="K15" s="13">
        <f>SUMIF(SalesData[OrderID],Orders[[#This Row],[OrderID]],SalesData[Quantity])</f>
        <v>27</v>
      </c>
      <c r="L15" s="13" t="str">
        <f>_xlfn.XLOOKUP(Orders[[#This Row],[OrderID]],SalesData[OrderID],SalesData[Category],"Not Found")</f>
        <v>Storage</v>
      </c>
      <c r="M15" s="16">
        <f>_xlfn.XLOOKUP(Orders[[#This Row],[Category]],ProductMaster[Category],ProductMaster[UnitCost],"Not Found")</f>
        <v>4700</v>
      </c>
    </row>
    <row r="16" spans="1:13" x14ac:dyDescent="0.35">
      <c r="A16">
        <v>1034</v>
      </c>
      <c r="B16">
        <v>29</v>
      </c>
      <c r="C16">
        <v>46061</v>
      </c>
      <c r="D16" s="1" t="s">
        <v>10</v>
      </c>
      <c r="E16" s="10">
        <f>SUMIF(SalesData[OrderID],Orders[[#This Row],[OrderID]],SalesData[Revenue])</f>
        <v>103500</v>
      </c>
      <c r="F16" s="10">
        <f>SUMIF(SalesData[OrderID],Orders[[#This Row],[OrderID]],SalesData[TotalCost])</f>
        <v>75900</v>
      </c>
      <c r="G16" s="11">
        <f>SUMIF(SalesData[OrderID],Orders[[#This Row],[OrderID]],SalesData[Profit])</f>
        <v>27600</v>
      </c>
      <c r="H16" s="12">
        <f>AVERAGEIF(SalesData[OrderID],Orders[[#This Row],[OrderID]],SalesData[ProfitMargin])</f>
        <v>0.29298245614035084</v>
      </c>
      <c r="I16" s="13" t="str">
        <f>IF(Orders[[#This Row],[Profit]]&gt;10000,"High Profit","Standard Profit")</f>
        <v>High Profit</v>
      </c>
      <c r="J16" s="13" t="str">
        <f>_xlfn.XLOOKUP(Orders[[#This Row],[OrderID]],SalesData[OrderID],SalesData[Region],"Not Found")</f>
        <v>Central</v>
      </c>
      <c r="K16" s="13">
        <f>SUMIF(SalesData[OrderID],Orders[[#This Row],[OrderID]],SalesData[Quantity])</f>
        <v>13</v>
      </c>
      <c r="L16" s="13" t="str">
        <f>_xlfn.XLOOKUP(Orders[[#This Row],[OrderID]],SalesData[OrderID],SalesData[Category],"Not Found")</f>
        <v>Furniture</v>
      </c>
      <c r="M16" s="16">
        <f>_xlfn.XLOOKUP(Orders[[#This Row],[Category]],ProductMaster[Category],ProductMaster[UnitCost],"Not Found")</f>
        <v>3000</v>
      </c>
    </row>
    <row r="17" spans="1:13" x14ac:dyDescent="0.35">
      <c r="A17">
        <v>1028</v>
      </c>
      <c r="B17">
        <v>28</v>
      </c>
      <c r="C17">
        <v>46072</v>
      </c>
      <c r="D17" s="1" t="s">
        <v>9</v>
      </c>
      <c r="E17" s="10">
        <f>SUMIF(SalesData[OrderID],Orders[[#This Row],[OrderID]],SalesData[Revenue])</f>
        <v>78200</v>
      </c>
      <c r="F17" s="10">
        <f>SUMIF(SalesData[OrderID],Orders[[#This Row],[OrderID]],SalesData[TotalCost])</f>
        <v>59400</v>
      </c>
      <c r="G17" s="11">
        <f>SUMIF(SalesData[OrderID],Orders[[#This Row],[OrderID]],SalesData[Profit])</f>
        <v>18800</v>
      </c>
      <c r="H17" s="12">
        <f>AVERAGEIF(SalesData[OrderID],Orders[[#This Row],[OrderID]],SalesData[ProfitMargin])</f>
        <v>0.31944444444444436</v>
      </c>
      <c r="I17" s="13" t="str">
        <f>IF(Orders[[#This Row],[Profit]]&gt;10000,"High Profit","Standard Profit")</f>
        <v>High Profit</v>
      </c>
      <c r="J17" s="13" t="str">
        <f>_xlfn.XLOOKUP(Orders[[#This Row],[OrderID]],SalesData[OrderID],SalesData[Region],"Not Found")</f>
        <v>Central</v>
      </c>
      <c r="K17" s="13">
        <f>SUMIF(SalesData[OrderID],Orders[[#This Row],[OrderID]],SalesData[Quantity])</f>
        <v>12</v>
      </c>
      <c r="L17" s="13" t="str">
        <f>_xlfn.XLOOKUP(Orders[[#This Row],[OrderID]],SalesData[OrderID],SalesData[Category],"Not Found")</f>
        <v>Electronics</v>
      </c>
      <c r="M17" s="16">
        <f>_xlfn.XLOOKUP(Orders[[#This Row],[Category]],ProductMaster[Category],ProductMaster[UnitCost],"Not Found")</f>
        <v>46000</v>
      </c>
    </row>
    <row r="18" spans="1:13" x14ac:dyDescent="0.35">
      <c r="A18">
        <v>1064</v>
      </c>
      <c r="B18">
        <v>9</v>
      </c>
      <c r="C18">
        <v>46076</v>
      </c>
      <c r="D18" s="1" t="s">
        <v>9</v>
      </c>
      <c r="E18" s="10">
        <f>SUMIF(SalesData[OrderID],Orders[[#This Row],[OrderID]],SalesData[Revenue])</f>
        <v>361500</v>
      </c>
      <c r="F18" s="10">
        <f>SUMIF(SalesData[OrderID],Orders[[#This Row],[OrderID]],SalesData[TotalCost])</f>
        <v>297200</v>
      </c>
      <c r="G18" s="11">
        <f>SUMIF(SalesData[OrderID],Orders[[#This Row],[OrderID]],SalesData[Profit])</f>
        <v>64300</v>
      </c>
      <c r="H18" s="12">
        <f>AVERAGEIF(SalesData[OrderID],Orders[[#This Row],[OrderID]],SalesData[ProfitMargin])</f>
        <v>0.19122550528367699</v>
      </c>
      <c r="I18" s="13" t="str">
        <f>IF(Orders[[#This Row],[Profit]]&gt;10000,"High Profit","Standard Profit")</f>
        <v>High Profit</v>
      </c>
      <c r="J18" s="13" t="str">
        <f>_xlfn.XLOOKUP(Orders[[#This Row],[OrderID]],SalesData[OrderID],SalesData[Region],"Not Found")</f>
        <v>South</v>
      </c>
      <c r="K18" s="13">
        <f>SUMIF(SalesData[OrderID],Orders[[#This Row],[OrderID]],SalesData[Quantity])</f>
        <v>28</v>
      </c>
      <c r="L18" s="13" t="str">
        <f>_xlfn.XLOOKUP(Orders[[#This Row],[OrderID]],SalesData[OrderID],SalesData[Category],"Not Found")</f>
        <v>Electronics</v>
      </c>
      <c r="M18" s="16">
        <f>_xlfn.XLOOKUP(Orders[[#This Row],[Category]],ProductMaster[Category],ProductMaster[UnitCost],"Not Found")</f>
        <v>46000</v>
      </c>
    </row>
    <row r="19" spans="1:13" x14ac:dyDescent="0.35">
      <c r="A19">
        <v>1065</v>
      </c>
      <c r="B19">
        <v>10</v>
      </c>
      <c r="C19">
        <v>46077</v>
      </c>
      <c r="D19" s="1" t="s">
        <v>9</v>
      </c>
      <c r="E19" s="10">
        <f>SUMIF(SalesData[OrderID],Orders[[#This Row],[OrderID]],SalesData[Revenue])</f>
        <v>43400</v>
      </c>
      <c r="F19" s="10">
        <f>SUMIF(SalesData[OrderID],Orders[[#This Row],[OrderID]],SalesData[TotalCost])</f>
        <v>30100</v>
      </c>
      <c r="G19" s="11">
        <f>SUMIF(SalesData[OrderID],Orders[[#This Row],[OrderID]],SalesData[Profit])</f>
        <v>13300</v>
      </c>
      <c r="H19" s="12">
        <f>AVERAGEIF(SalesData[OrderID],Orders[[#This Row],[OrderID]],SalesData[ProfitMargin])</f>
        <v>0.30645161290322581</v>
      </c>
      <c r="I19" s="13" t="str">
        <f>IF(Orders[[#This Row],[Profit]]&gt;10000,"High Profit","Standard Profit")</f>
        <v>High Profit</v>
      </c>
      <c r="J19" s="13" t="str">
        <f>_xlfn.XLOOKUP(Orders[[#This Row],[OrderID]],SalesData[OrderID],SalesData[Region],"Not Found")</f>
        <v>South</v>
      </c>
      <c r="K19" s="13">
        <f>SUMIF(SalesData[OrderID],Orders[[#This Row],[OrderID]],SalesData[Quantity])</f>
        <v>7</v>
      </c>
      <c r="L19" s="13" t="str">
        <f>_xlfn.XLOOKUP(Orders[[#This Row],[OrderID]],SalesData[OrderID],SalesData[Category],"Not Found")</f>
        <v>Furniture</v>
      </c>
      <c r="M19" s="16">
        <f>_xlfn.XLOOKUP(Orders[[#This Row],[Category]],ProductMaster[Category],ProductMaster[UnitCost],"Not Found")</f>
        <v>3000</v>
      </c>
    </row>
    <row r="20" spans="1:13" x14ac:dyDescent="0.35">
      <c r="A20">
        <v>1001</v>
      </c>
      <c r="B20">
        <v>19</v>
      </c>
      <c r="C20">
        <v>46080</v>
      </c>
      <c r="D20" s="1" t="s">
        <v>9</v>
      </c>
      <c r="E20" s="10">
        <f>SUMIF(SalesData[OrderID],Orders[[#This Row],[OrderID]],SalesData[Revenue])</f>
        <v>640200</v>
      </c>
      <c r="F20" s="10">
        <f>SUMIF(SalesData[OrderID],Orders[[#This Row],[OrderID]],SalesData[TotalCost])</f>
        <v>583700</v>
      </c>
      <c r="G20" s="11">
        <f>SUMIF(SalesData[OrderID],Orders[[#This Row],[OrderID]],SalesData[Profit])</f>
        <v>56500</v>
      </c>
      <c r="H20" s="12">
        <f>AVERAGEIF(SalesData[OrderID],Orders[[#This Row],[OrderID]],SalesData[ProfitMargin])</f>
        <v>0.26857670406057504</v>
      </c>
      <c r="I20" s="13" t="str">
        <f>IF(Orders[[#This Row],[Profit]]&gt;10000,"High Profit","Standard Profit")</f>
        <v>High Profit</v>
      </c>
      <c r="J20" s="13" t="str">
        <f>_xlfn.XLOOKUP(Orders[[#This Row],[OrderID]],SalesData[OrderID],SalesData[Region],"Not Found")</f>
        <v>North</v>
      </c>
      <c r="K20" s="13">
        <f>SUMIF(SalesData[OrderID],Orders[[#This Row],[OrderID]],SalesData[Quantity])</f>
        <v>23</v>
      </c>
      <c r="L20" s="13" t="str">
        <f>_xlfn.XLOOKUP(Orders[[#This Row],[OrderID]],SalesData[OrderID],SalesData[Category],"Not Found")</f>
        <v>Accessories</v>
      </c>
      <c r="M20" s="16">
        <f>_xlfn.XLOOKUP(Orders[[#This Row],[Category]],ProductMaster[Category],ProductMaster[UnitCost],"Not Found")</f>
        <v>400</v>
      </c>
    </row>
    <row r="21" spans="1:13" x14ac:dyDescent="0.35">
      <c r="A21">
        <v>1009</v>
      </c>
      <c r="B21">
        <v>24</v>
      </c>
      <c r="C21">
        <v>46080</v>
      </c>
      <c r="D21" s="1" t="s">
        <v>10</v>
      </c>
      <c r="E21" s="10">
        <f>SUMIF(SalesData[OrderID],Orders[[#This Row],[OrderID]],SalesData[Revenue])</f>
        <v>537100</v>
      </c>
      <c r="F21" s="10">
        <f>SUMIF(SalesData[OrderID],Orders[[#This Row],[OrderID]],SalesData[TotalCost])</f>
        <v>442600</v>
      </c>
      <c r="G21" s="11">
        <f>SUMIF(SalesData[OrderID],Orders[[#This Row],[OrderID]],SalesData[Profit])</f>
        <v>94500</v>
      </c>
      <c r="H21" s="12">
        <f>AVERAGEIF(SalesData[OrderID],Orders[[#This Row],[OrderID]],SalesData[ProfitMargin])</f>
        <v>0.29955313503700598</v>
      </c>
      <c r="I21" s="13" t="str">
        <f>IF(Orders[[#This Row],[Profit]]&gt;10000,"High Profit","Standard Profit")</f>
        <v>High Profit</v>
      </c>
      <c r="J21" s="13" t="str">
        <f>_xlfn.XLOOKUP(Orders[[#This Row],[OrderID]],SalesData[OrderID],SalesData[Region],"Not Found")</f>
        <v>South</v>
      </c>
      <c r="K21" s="13">
        <f>SUMIF(SalesData[OrderID],Orders[[#This Row],[OrderID]],SalesData[Quantity])</f>
        <v>22</v>
      </c>
      <c r="L21" s="13" t="str">
        <f>_xlfn.XLOOKUP(Orders[[#This Row],[OrderID]],SalesData[OrderID],SalesData[Category],"Not Found")</f>
        <v>Furniture</v>
      </c>
      <c r="M21" s="16">
        <f>_xlfn.XLOOKUP(Orders[[#This Row],[Category]],ProductMaster[Category],ProductMaster[UnitCost],"Not Found")</f>
        <v>3000</v>
      </c>
    </row>
    <row r="22" spans="1:13" x14ac:dyDescent="0.35">
      <c r="A22">
        <v>1073</v>
      </c>
      <c r="B22">
        <v>5</v>
      </c>
      <c r="C22">
        <v>46080</v>
      </c>
      <c r="D22" s="1" t="s">
        <v>11</v>
      </c>
      <c r="E22" s="10">
        <f>SUMIF(SalesData[OrderID],Orders[[#This Row],[OrderID]],SalesData[Revenue])</f>
        <v>190540</v>
      </c>
      <c r="F22" s="10">
        <f>SUMIF(SalesData[OrderID],Orders[[#This Row],[OrderID]],SalesData[TotalCost])</f>
        <v>148600</v>
      </c>
      <c r="G22" s="11">
        <f>SUMIF(SalesData[OrderID],Orders[[#This Row],[OrderID]],SalesData[Profit])</f>
        <v>41940</v>
      </c>
      <c r="H22" s="12">
        <f>AVERAGEIF(SalesData[OrderID],Orders[[#This Row],[OrderID]],SalesData[ProfitMargin])</f>
        <v>0.27947700447700446</v>
      </c>
      <c r="I22" s="13" t="str">
        <f>IF(Orders[[#This Row],[Profit]]&gt;10000,"High Profit","Standard Profit")</f>
        <v>High Profit</v>
      </c>
      <c r="J22" s="13" t="str">
        <f>_xlfn.XLOOKUP(Orders[[#This Row],[OrderID]],SalesData[OrderID],SalesData[Region],"Not Found")</f>
        <v>North</v>
      </c>
      <c r="K22" s="13">
        <f>SUMIF(SalesData[OrderID],Orders[[#This Row],[OrderID]],SalesData[Quantity])</f>
        <v>20</v>
      </c>
      <c r="L22" s="13" t="str">
        <f>_xlfn.XLOOKUP(Orders[[#This Row],[OrderID]],SalesData[OrderID],SalesData[Category],"Not Found")</f>
        <v>Electronics</v>
      </c>
      <c r="M22" s="16">
        <f>_xlfn.XLOOKUP(Orders[[#This Row],[Category]],ProductMaster[Category],ProductMaster[UnitCost],"Not Found")</f>
        <v>46000</v>
      </c>
    </row>
    <row r="23" spans="1:13" x14ac:dyDescent="0.35">
      <c r="A23">
        <v>1092</v>
      </c>
      <c r="B23">
        <v>17</v>
      </c>
      <c r="C23">
        <v>46082</v>
      </c>
      <c r="D23" s="1" t="s">
        <v>9</v>
      </c>
      <c r="E23" s="10">
        <f>SUMIF(SalesData[OrderID],Orders[[#This Row],[OrderID]],SalesData[Revenue])</f>
        <v>170680</v>
      </c>
      <c r="F23" s="10">
        <f>SUMIF(SalesData[OrderID],Orders[[#This Row],[OrderID]],SalesData[TotalCost])</f>
        <v>125000</v>
      </c>
      <c r="G23" s="11">
        <f>SUMIF(SalesData[OrderID],Orders[[#This Row],[OrderID]],SalesData[Profit])</f>
        <v>45680</v>
      </c>
      <c r="H23" s="12">
        <f>AVERAGEIF(SalesData[OrderID],Orders[[#This Row],[OrderID]],SalesData[ProfitMargin])</f>
        <v>0.27631951270366067</v>
      </c>
      <c r="I23" s="13" t="str">
        <f>IF(Orders[[#This Row],[Profit]]&gt;10000,"High Profit","Standard Profit")</f>
        <v>High Profit</v>
      </c>
      <c r="J23" s="13" t="str">
        <f>_xlfn.XLOOKUP(Orders[[#This Row],[OrderID]],SalesData[OrderID],SalesData[Region],"Not Found")</f>
        <v>West</v>
      </c>
      <c r="K23" s="13">
        <f>SUMIF(SalesData[OrderID],Orders[[#This Row],[OrderID]],SalesData[Quantity])</f>
        <v>30</v>
      </c>
      <c r="L23" s="13" t="str">
        <f>_xlfn.XLOOKUP(Orders[[#This Row],[OrderID]],SalesData[OrderID],SalesData[Category],"Not Found")</f>
        <v>Accessories</v>
      </c>
      <c r="M23" s="16">
        <f>_xlfn.XLOOKUP(Orders[[#This Row],[Category]],ProductMaster[Category],ProductMaster[UnitCost],"Not Found")</f>
        <v>400</v>
      </c>
    </row>
    <row r="24" spans="1:13" x14ac:dyDescent="0.35">
      <c r="A24">
        <v>1055</v>
      </c>
      <c r="B24">
        <v>20</v>
      </c>
      <c r="C24">
        <v>46090</v>
      </c>
      <c r="D24" s="1" t="s">
        <v>9</v>
      </c>
      <c r="E24" s="10">
        <f>SUMIF(SalesData[OrderID],Orders[[#This Row],[OrderID]],SalesData[Revenue])</f>
        <v>62000</v>
      </c>
      <c r="F24" s="10">
        <f>SUMIF(SalesData[OrderID],Orders[[#This Row],[OrderID]],SalesData[TotalCost])</f>
        <v>43000</v>
      </c>
      <c r="G24" s="11">
        <f>SUMIF(SalesData[OrderID],Orders[[#This Row],[OrderID]],SalesData[Profit])</f>
        <v>19000</v>
      </c>
      <c r="H24" s="12">
        <f>AVERAGEIF(SalesData[OrderID],Orders[[#This Row],[OrderID]],SalesData[ProfitMargin])</f>
        <v>0.30645161290322581</v>
      </c>
      <c r="I24" s="13" t="str">
        <f>IF(Orders[[#This Row],[Profit]]&gt;10000,"High Profit","Standard Profit")</f>
        <v>High Profit</v>
      </c>
      <c r="J24" s="13" t="str">
        <f>_xlfn.XLOOKUP(Orders[[#This Row],[OrderID]],SalesData[OrderID],SalesData[Region],"Not Found")</f>
        <v>South</v>
      </c>
      <c r="K24" s="13">
        <f>SUMIF(SalesData[OrderID],Orders[[#This Row],[OrderID]],SalesData[Quantity])</f>
        <v>10</v>
      </c>
      <c r="L24" s="13" t="str">
        <f>_xlfn.XLOOKUP(Orders[[#This Row],[OrderID]],SalesData[OrderID],SalesData[Category],"Not Found")</f>
        <v>Furniture</v>
      </c>
      <c r="M24" s="16">
        <f>_xlfn.XLOOKUP(Orders[[#This Row],[Category]],ProductMaster[Category],ProductMaster[UnitCost],"Not Found")</f>
        <v>3000</v>
      </c>
    </row>
    <row r="25" spans="1:13" x14ac:dyDescent="0.35">
      <c r="A25">
        <v>1006</v>
      </c>
      <c r="B25">
        <v>24</v>
      </c>
      <c r="C25">
        <v>46101</v>
      </c>
      <c r="D25" s="1" t="s">
        <v>8</v>
      </c>
      <c r="E25" s="10">
        <f>SUMIF(SalesData[OrderID],Orders[[#This Row],[OrderID]],SalesData[Revenue])</f>
        <v>460150</v>
      </c>
      <c r="F25" s="10">
        <f>SUMIF(SalesData[OrderID],Orders[[#This Row],[OrderID]],SalesData[TotalCost])</f>
        <v>400100</v>
      </c>
      <c r="G25" s="11">
        <f>SUMIF(SalesData[OrderID],Orders[[#This Row],[OrderID]],SalesData[Profit])</f>
        <v>60050</v>
      </c>
      <c r="H25" s="12">
        <f>AVERAGEIF(SalesData[OrderID],Orders[[#This Row],[OrderID]],SalesData[ProfitMargin])</f>
        <v>0.21001129718234987</v>
      </c>
      <c r="I25" s="13" t="str">
        <f>IF(Orders[[#This Row],[Profit]]&gt;10000,"High Profit","Standard Profit")</f>
        <v>High Profit</v>
      </c>
      <c r="J25" s="13" t="str">
        <f>_xlfn.XLOOKUP(Orders[[#This Row],[OrderID]],SalesData[OrderID],SalesData[Region],"Not Found")</f>
        <v>South</v>
      </c>
      <c r="K25" s="13">
        <f>SUMIF(SalesData[OrderID],Orders[[#This Row],[OrderID]],SalesData[Quantity])</f>
        <v>16</v>
      </c>
      <c r="L25" s="13" t="str">
        <f>_xlfn.XLOOKUP(Orders[[#This Row],[OrderID]],SalesData[OrderID],SalesData[Category],"Not Found")</f>
        <v>Electronics</v>
      </c>
      <c r="M25" s="16">
        <f>_xlfn.XLOOKUP(Orders[[#This Row],[Category]],ProductMaster[Category],ProductMaster[UnitCost],"Not Found")</f>
        <v>46000</v>
      </c>
    </row>
    <row r="26" spans="1:13" x14ac:dyDescent="0.35">
      <c r="A26">
        <v>1080</v>
      </c>
      <c r="B26">
        <v>16</v>
      </c>
      <c r="C26">
        <v>46102</v>
      </c>
      <c r="D26" s="1" t="s">
        <v>10</v>
      </c>
      <c r="E26" s="10">
        <f>SUMIF(SalesData[OrderID],Orders[[#This Row],[OrderID]],SalesData[Revenue])</f>
        <v>236000</v>
      </c>
      <c r="F26" s="10">
        <f>SUMIF(SalesData[OrderID],Orders[[#This Row],[OrderID]],SalesData[TotalCost])</f>
        <v>184600</v>
      </c>
      <c r="G26" s="11">
        <f>SUMIF(SalesData[OrderID],Orders[[#This Row],[OrderID]],SalesData[Profit])</f>
        <v>51400</v>
      </c>
      <c r="H26" s="12">
        <f>AVERAGEIF(SalesData[OrderID],Orders[[#This Row],[OrderID]],SalesData[ProfitMargin])</f>
        <v>0.23350840336134449</v>
      </c>
      <c r="I26" s="13" t="str">
        <f>IF(Orders[[#This Row],[Profit]]&gt;10000,"High Profit","Standard Profit")</f>
        <v>High Profit</v>
      </c>
      <c r="J26" s="13" t="str">
        <f>_xlfn.XLOOKUP(Orders[[#This Row],[OrderID]],SalesData[OrderID],SalesData[Region],"Not Found")</f>
        <v>West</v>
      </c>
      <c r="K26" s="13">
        <f>SUMIF(SalesData[OrderID],Orders[[#This Row],[OrderID]],SalesData[Quantity])</f>
        <v>14</v>
      </c>
      <c r="L26" s="13" t="str">
        <f>_xlfn.XLOOKUP(Orders[[#This Row],[OrderID]],SalesData[OrderID],SalesData[Category],"Not Found")</f>
        <v>Furniture</v>
      </c>
      <c r="M26" s="16">
        <f>_xlfn.XLOOKUP(Orders[[#This Row],[Category]],ProductMaster[Category],ProductMaster[UnitCost],"Not Found")</f>
        <v>3000</v>
      </c>
    </row>
    <row r="27" spans="1:13" x14ac:dyDescent="0.35">
      <c r="A27">
        <v>1081</v>
      </c>
      <c r="B27">
        <v>27</v>
      </c>
      <c r="C27">
        <v>46113</v>
      </c>
      <c r="D27" s="1" t="s">
        <v>9</v>
      </c>
      <c r="E27" s="10">
        <f>SUMIF(SalesData[OrderID],Orders[[#This Row],[OrderID]],SalesData[Revenue])</f>
        <v>87390</v>
      </c>
      <c r="F27" s="10">
        <f>SUMIF(SalesData[OrderID],Orders[[#This Row],[OrderID]],SalesData[TotalCost])</f>
        <v>69900</v>
      </c>
      <c r="G27" s="11">
        <f>SUMIF(SalesData[OrderID],Orders[[#This Row],[OrderID]],SalesData[Profit])</f>
        <v>17490</v>
      </c>
      <c r="H27" s="12">
        <f>AVERAGEIF(SalesData[OrderID],Orders[[#This Row],[OrderID]],SalesData[ProfitMargin])</f>
        <v>0.19949066213921901</v>
      </c>
      <c r="I27" s="13" t="str">
        <f>IF(Orders[[#This Row],[Profit]]&gt;10000,"High Profit","Standard Profit")</f>
        <v>High Profit</v>
      </c>
      <c r="J27" s="13" t="str">
        <f>_xlfn.XLOOKUP(Orders[[#This Row],[OrderID]],SalesData[OrderID],SalesData[Region],"Not Found")</f>
        <v>North</v>
      </c>
      <c r="K27" s="13">
        <f>SUMIF(SalesData[OrderID],Orders[[#This Row],[OrderID]],SalesData[Quantity])</f>
        <v>13</v>
      </c>
      <c r="L27" s="13" t="str">
        <f>_xlfn.XLOOKUP(Orders[[#This Row],[OrderID]],SalesData[OrderID],SalesData[Category],"Not Found")</f>
        <v>Networking</v>
      </c>
      <c r="M27" s="16">
        <f>_xlfn.XLOOKUP(Orders[[#This Row],[Category]],ProductMaster[Category],ProductMaster[UnitCost],"Not Found")</f>
        <v>3400</v>
      </c>
    </row>
    <row r="28" spans="1:13" x14ac:dyDescent="0.35">
      <c r="A28">
        <v>1033</v>
      </c>
      <c r="B28">
        <v>18</v>
      </c>
      <c r="C28">
        <v>46116</v>
      </c>
      <c r="D28" s="1" t="s">
        <v>9</v>
      </c>
      <c r="E28" s="10">
        <f>SUMIF(SalesData[OrderID],Orders[[#This Row],[OrderID]],SalesData[Revenue])</f>
        <v>557975</v>
      </c>
      <c r="F28" s="10">
        <f>SUMIF(SalesData[OrderID],Orders[[#This Row],[OrderID]],SalesData[TotalCost])</f>
        <v>515800</v>
      </c>
      <c r="G28" s="11">
        <f>SUMIF(SalesData[OrderID],Orders[[#This Row],[OrderID]],SalesData[Profit])</f>
        <v>42175</v>
      </c>
      <c r="H28" s="12">
        <f>AVERAGEIF(SalesData[OrderID],Orders[[#This Row],[OrderID]],SalesData[ProfitMargin])</f>
        <v>0.21207951548508822</v>
      </c>
      <c r="I28" s="13" t="str">
        <f>IF(Orders[[#This Row],[Profit]]&gt;10000,"High Profit","Standard Profit")</f>
        <v>High Profit</v>
      </c>
      <c r="J28" s="13" t="str">
        <f>_xlfn.XLOOKUP(Orders[[#This Row],[OrderID]],SalesData[OrderID],SalesData[Region],"Not Found")</f>
        <v>East</v>
      </c>
      <c r="K28" s="13">
        <f>SUMIF(SalesData[OrderID],Orders[[#This Row],[OrderID]],SalesData[Quantity])</f>
        <v>16</v>
      </c>
      <c r="L28" s="13" t="str">
        <f>_xlfn.XLOOKUP(Orders[[#This Row],[OrderID]],SalesData[OrderID],SalesData[Category],"Not Found")</f>
        <v>Accessories</v>
      </c>
      <c r="M28" s="16">
        <f>_xlfn.XLOOKUP(Orders[[#This Row],[Category]],ProductMaster[Category],ProductMaster[UnitCost],"Not Found")</f>
        <v>400</v>
      </c>
    </row>
    <row r="29" spans="1:13" x14ac:dyDescent="0.35">
      <c r="A29">
        <v>1032</v>
      </c>
      <c r="B29">
        <v>29</v>
      </c>
      <c r="C29">
        <v>46120</v>
      </c>
      <c r="D29" s="1" t="s">
        <v>9</v>
      </c>
      <c r="E29" s="10">
        <f>SUMIF(SalesData[OrderID],Orders[[#This Row],[OrderID]],SalesData[Revenue])</f>
        <v>6500</v>
      </c>
      <c r="F29" s="10">
        <f>SUMIF(SalesData[OrderID],Orders[[#This Row],[OrderID]],SalesData[TotalCost])</f>
        <v>4700</v>
      </c>
      <c r="G29" s="11">
        <f>SUMIF(SalesData[OrderID],Orders[[#This Row],[OrderID]],SalesData[Profit])</f>
        <v>1800</v>
      </c>
      <c r="H29" s="12">
        <f>AVERAGEIF(SalesData[OrderID],Orders[[#This Row],[OrderID]],SalesData[ProfitMargin])</f>
        <v>0.27692307692307688</v>
      </c>
      <c r="I29" s="13" t="str">
        <f>IF(Orders[[#This Row],[Profit]]&gt;10000,"High Profit","Standard Profit")</f>
        <v>Standard Profit</v>
      </c>
      <c r="J29" s="13" t="str">
        <f>_xlfn.XLOOKUP(Orders[[#This Row],[OrderID]],SalesData[OrderID],SalesData[Region],"Not Found")</f>
        <v>Central</v>
      </c>
      <c r="K29" s="13">
        <f>SUMIF(SalesData[OrderID],Orders[[#This Row],[OrderID]],SalesData[Quantity])</f>
        <v>1</v>
      </c>
      <c r="L29" s="13" t="str">
        <f>_xlfn.XLOOKUP(Orders[[#This Row],[OrderID]],SalesData[OrderID],SalesData[Category],"Not Found")</f>
        <v>Storage</v>
      </c>
      <c r="M29" s="16">
        <f>_xlfn.XLOOKUP(Orders[[#This Row],[Category]],ProductMaster[Category],ProductMaster[UnitCost],"Not Found")</f>
        <v>4700</v>
      </c>
    </row>
    <row r="30" spans="1:13" x14ac:dyDescent="0.35">
      <c r="A30">
        <v>1088</v>
      </c>
      <c r="B30">
        <v>26</v>
      </c>
      <c r="C30">
        <v>46121</v>
      </c>
      <c r="D30" s="1" t="s">
        <v>9</v>
      </c>
      <c r="E30" s="10">
        <f>SUMIF(SalesData[OrderID],Orders[[#This Row],[OrderID]],SalesData[Revenue])</f>
        <v>84000</v>
      </c>
      <c r="F30" s="10">
        <f>SUMIF(SalesData[OrderID],Orders[[#This Row],[OrderID]],SalesData[TotalCost])</f>
        <v>67500</v>
      </c>
      <c r="G30" s="11">
        <f>SUMIF(SalesData[OrderID],Orders[[#This Row],[OrderID]],SalesData[Profit])</f>
        <v>16500</v>
      </c>
      <c r="H30" s="12">
        <f>AVERAGEIF(SalesData[OrderID],Orders[[#This Row],[OrderID]],SalesData[ProfitMargin])</f>
        <v>0.1964285714285714</v>
      </c>
      <c r="I30" s="13" t="str">
        <f>IF(Orders[[#This Row],[Profit]]&gt;10000,"High Profit","Standard Profit")</f>
        <v>High Profit</v>
      </c>
      <c r="J30" s="13" t="str">
        <f>_xlfn.XLOOKUP(Orders[[#This Row],[OrderID]],SalesData[OrderID],SalesData[Region],"Not Found")</f>
        <v>North</v>
      </c>
      <c r="K30" s="13">
        <f>SUMIF(SalesData[OrderID],Orders[[#This Row],[OrderID]],SalesData[Quantity])</f>
        <v>3</v>
      </c>
      <c r="L30" s="13" t="str">
        <f>_xlfn.XLOOKUP(Orders[[#This Row],[OrderID]],SalesData[OrderID],SalesData[Category],"Not Found")</f>
        <v>Electronics</v>
      </c>
      <c r="M30" s="16">
        <f>_xlfn.XLOOKUP(Orders[[#This Row],[Category]],ProductMaster[Category],ProductMaster[UnitCost],"Not Found")</f>
        <v>46000</v>
      </c>
    </row>
    <row r="31" spans="1:13" x14ac:dyDescent="0.35">
      <c r="A31">
        <v>1067</v>
      </c>
      <c r="B31">
        <v>17</v>
      </c>
      <c r="C31">
        <v>46127</v>
      </c>
      <c r="D31" s="1" t="s">
        <v>9</v>
      </c>
      <c r="E31" s="10">
        <f>SUMIF(SalesData[OrderID],Orders[[#This Row],[OrderID]],SalesData[Revenue])</f>
        <v>388540</v>
      </c>
      <c r="F31" s="10">
        <f>SUMIF(SalesData[OrderID],Orders[[#This Row],[OrderID]],SalesData[TotalCost])</f>
        <v>309100</v>
      </c>
      <c r="G31" s="11">
        <f>SUMIF(SalesData[OrderID],Orders[[#This Row],[OrderID]],SalesData[Profit])</f>
        <v>79440</v>
      </c>
      <c r="H31" s="12">
        <f>AVERAGEIF(SalesData[OrderID],Orders[[#This Row],[OrderID]],SalesData[ProfitMargin])</f>
        <v>0.25294296346927919</v>
      </c>
      <c r="I31" s="13" t="str">
        <f>IF(Orders[[#This Row],[Profit]]&gt;10000,"High Profit","Standard Profit")</f>
        <v>High Profit</v>
      </c>
      <c r="J31" s="13" t="str">
        <f>_xlfn.XLOOKUP(Orders[[#This Row],[OrderID]],SalesData[OrderID],SalesData[Region],"Not Found")</f>
        <v>West</v>
      </c>
      <c r="K31" s="13">
        <f>SUMIF(SalesData[OrderID],Orders[[#This Row],[OrderID]],SalesData[Quantity])</f>
        <v>24</v>
      </c>
      <c r="L31" s="13" t="str">
        <f>_xlfn.XLOOKUP(Orders[[#This Row],[OrderID]],SalesData[OrderID],SalesData[Category],"Not Found")</f>
        <v>Electronics</v>
      </c>
      <c r="M31" s="16">
        <f>_xlfn.XLOOKUP(Orders[[#This Row],[Category]],ProductMaster[Category],ProductMaster[UnitCost],"Not Found")</f>
        <v>46000</v>
      </c>
    </row>
    <row r="32" spans="1:13" x14ac:dyDescent="0.35">
      <c r="A32">
        <v>1025</v>
      </c>
      <c r="B32">
        <v>9</v>
      </c>
      <c r="C32">
        <v>46132</v>
      </c>
      <c r="D32" s="1" t="s">
        <v>8</v>
      </c>
      <c r="E32" s="10">
        <f>SUMIF(SalesData[OrderID],Orders[[#This Row],[OrderID]],SalesData[Revenue])</f>
        <v>219600</v>
      </c>
      <c r="F32" s="10">
        <f>SUMIF(SalesData[OrderID],Orders[[#This Row],[OrderID]],SalesData[TotalCost])</f>
        <v>184500</v>
      </c>
      <c r="G32" s="11">
        <f>SUMIF(SalesData[OrderID],Orders[[#This Row],[OrderID]],SalesData[Profit])</f>
        <v>35100</v>
      </c>
      <c r="H32" s="12">
        <f>AVERAGEIF(SalesData[OrderID],Orders[[#This Row],[OrderID]],SalesData[ProfitMargin])</f>
        <v>0.17592592592592593</v>
      </c>
      <c r="I32" s="13" t="str">
        <f>IF(Orders[[#This Row],[Profit]]&gt;10000,"High Profit","Standard Profit")</f>
        <v>High Profit</v>
      </c>
      <c r="J32" s="13" t="str">
        <f>_xlfn.XLOOKUP(Orders[[#This Row],[OrderID]],SalesData[OrderID],SalesData[Region],"Not Found")</f>
        <v>South</v>
      </c>
      <c r="K32" s="13">
        <f>SUMIF(SalesData[OrderID],Orders[[#This Row],[OrderID]],SalesData[Quantity])</f>
        <v>20</v>
      </c>
      <c r="L32" s="13" t="str">
        <f>_xlfn.XLOOKUP(Orders[[#This Row],[OrderID]],SalesData[OrderID],SalesData[Category],"Not Found")</f>
        <v>Networking</v>
      </c>
      <c r="M32" s="16">
        <f>_xlfn.XLOOKUP(Orders[[#This Row],[Category]],ProductMaster[Category],ProductMaster[UnitCost],"Not Found")</f>
        <v>3400</v>
      </c>
    </row>
    <row r="33" spans="1:13" x14ac:dyDescent="0.35">
      <c r="A33">
        <v>1058</v>
      </c>
      <c r="B33">
        <v>33</v>
      </c>
      <c r="C33">
        <v>46132</v>
      </c>
      <c r="D33" s="1" t="s">
        <v>9</v>
      </c>
      <c r="E33" s="10">
        <f>SUMIF(SalesData[OrderID],Orders[[#This Row],[OrderID]],SalesData[Revenue])</f>
        <v>93670</v>
      </c>
      <c r="F33" s="10">
        <f>SUMIF(SalesData[OrderID],Orders[[#This Row],[OrderID]],SalesData[TotalCost])</f>
        <v>71000</v>
      </c>
      <c r="G33" s="11">
        <f>SUMIF(SalesData[OrderID],Orders[[#This Row],[OrderID]],SalesData[Profit])</f>
        <v>22670</v>
      </c>
      <c r="H33" s="12">
        <f>AVERAGEIF(SalesData[OrderID],Orders[[#This Row],[OrderID]],SalesData[ProfitMargin])</f>
        <v>0.2533079148104615</v>
      </c>
      <c r="I33" s="13" t="str">
        <f>IF(Orders[[#This Row],[Profit]]&gt;10000,"High Profit","Standard Profit")</f>
        <v>High Profit</v>
      </c>
      <c r="J33" s="13" t="str">
        <f>_xlfn.XLOOKUP(Orders[[#This Row],[OrderID]],SalesData[OrderID],SalesData[Region],"Not Found")</f>
        <v>East</v>
      </c>
      <c r="K33" s="13">
        <f>SUMIF(SalesData[OrderID],Orders[[#This Row],[OrderID]],SalesData[Quantity])</f>
        <v>16</v>
      </c>
      <c r="L33" s="13" t="str">
        <f>_xlfn.XLOOKUP(Orders[[#This Row],[OrderID]],SalesData[OrderID],SalesData[Category],"Not Found")</f>
        <v>Furniture</v>
      </c>
      <c r="M33" s="16">
        <f>_xlfn.XLOOKUP(Orders[[#This Row],[Category]],ProductMaster[Category],ProductMaster[UnitCost],"Not Found")</f>
        <v>3000</v>
      </c>
    </row>
    <row r="34" spans="1:13" x14ac:dyDescent="0.35">
      <c r="A34">
        <v>1019</v>
      </c>
      <c r="B34">
        <v>5</v>
      </c>
      <c r="C34">
        <v>46138</v>
      </c>
      <c r="D34" s="1" t="s">
        <v>9</v>
      </c>
      <c r="E34" s="10">
        <f>SUMIF(SalesData[OrderID],Orders[[#This Row],[OrderID]],SalesData[Revenue])</f>
        <v>160800</v>
      </c>
      <c r="F34" s="10">
        <f>SUMIF(SalesData[OrderID],Orders[[#This Row],[OrderID]],SalesData[TotalCost])</f>
        <v>122600</v>
      </c>
      <c r="G34" s="11">
        <f>SUMIF(SalesData[OrderID],Orders[[#This Row],[OrderID]],SalesData[Profit])</f>
        <v>38200</v>
      </c>
      <c r="H34" s="12">
        <f>AVERAGEIF(SalesData[OrderID],Orders[[#This Row],[OrderID]],SalesData[ProfitMargin])</f>
        <v>0.25971557682083996</v>
      </c>
      <c r="I34" s="13" t="str">
        <f>IF(Orders[[#This Row],[Profit]]&gt;10000,"High Profit","Standard Profit")</f>
        <v>High Profit</v>
      </c>
      <c r="J34" s="13" t="str">
        <f>_xlfn.XLOOKUP(Orders[[#This Row],[OrderID]],SalesData[OrderID],SalesData[Region],"Not Found")</f>
        <v>North</v>
      </c>
      <c r="K34" s="13">
        <f>SUMIF(SalesData[OrderID],Orders[[#This Row],[OrderID]],SalesData[Quantity])</f>
        <v>23</v>
      </c>
      <c r="L34" s="13" t="str">
        <f>_xlfn.XLOOKUP(Orders[[#This Row],[OrderID]],SalesData[OrderID],SalesData[Category],"Not Found")</f>
        <v>Accessories</v>
      </c>
      <c r="M34" s="16">
        <f>_xlfn.XLOOKUP(Orders[[#This Row],[Category]],ProductMaster[Category],ProductMaster[UnitCost],"Not Found")</f>
        <v>400</v>
      </c>
    </row>
    <row r="35" spans="1:13" x14ac:dyDescent="0.35">
      <c r="A35">
        <v>1087</v>
      </c>
      <c r="B35">
        <v>15</v>
      </c>
      <c r="C35">
        <v>46139</v>
      </c>
      <c r="D35" s="1" t="s">
        <v>9</v>
      </c>
      <c r="E35" s="10">
        <f>SUMIF(SalesData[OrderID],Orders[[#This Row],[OrderID]],SalesData[Revenue])</f>
        <v>16500</v>
      </c>
      <c r="F35" s="10">
        <f>SUMIF(SalesData[OrderID],Orders[[#This Row],[OrderID]],SalesData[TotalCost])</f>
        <v>9900</v>
      </c>
      <c r="G35" s="11">
        <f>SUMIF(SalesData[OrderID],Orders[[#This Row],[OrderID]],SalesData[Profit])</f>
        <v>6600</v>
      </c>
      <c r="H35" s="12">
        <f>AVERAGEIF(SalesData[OrderID],Orders[[#This Row],[OrderID]],SalesData[ProfitMargin])</f>
        <v>0.4</v>
      </c>
      <c r="I35" s="13" t="str">
        <f>IF(Orders[[#This Row],[Profit]]&gt;10000,"High Profit","Standard Profit")</f>
        <v>Standard Profit</v>
      </c>
      <c r="J35" s="13" t="str">
        <f>_xlfn.XLOOKUP(Orders[[#This Row],[OrderID]],SalesData[OrderID],SalesData[Region],"Not Found")</f>
        <v>Central</v>
      </c>
      <c r="K35" s="13">
        <f>SUMIF(SalesData[OrderID],Orders[[#This Row],[OrderID]],SalesData[Quantity])</f>
        <v>11</v>
      </c>
      <c r="L35" s="13" t="str">
        <f>_xlfn.XLOOKUP(Orders[[#This Row],[OrderID]],SalesData[OrderID],SalesData[Category],"Not Found")</f>
        <v>Accessories</v>
      </c>
      <c r="M35" s="16">
        <f>_xlfn.XLOOKUP(Orders[[#This Row],[Category]],ProductMaster[Category],ProductMaster[UnitCost],"Not Found")</f>
        <v>400</v>
      </c>
    </row>
    <row r="36" spans="1:13" x14ac:dyDescent="0.35">
      <c r="A36">
        <v>1049</v>
      </c>
      <c r="B36">
        <v>26</v>
      </c>
      <c r="C36">
        <v>46143</v>
      </c>
      <c r="D36" s="1" t="s">
        <v>9</v>
      </c>
      <c r="E36" s="10">
        <f>SUMIF(SalesData[OrderID],Orders[[#This Row],[OrderID]],SalesData[Revenue])</f>
        <v>45500</v>
      </c>
      <c r="F36" s="10">
        <f>SUMIF(SalesData[OrderID],Orders[[#This Row],[OrderID]],SalesData[TotalCost])</f>
        <v>32900</v>
      </c>
      <c r="G36" s="11">
        <f>SUMIF(SalesData[OrderID],Orders[[#This Row],[OrderID]],SalesData[Profit])</f>
        <v>12600</v>
      </c>
      <c r="H36" s="12">
        <f>AVERAGEIF(SalesData[OrderID],Orders[[#This Row],[OrderID]],SalesData[ProfitMargin])</f>
        <v>0.27692307692307688</v>
      </c>
      <c r="I36" s="13" t="str">
        <f>IF(Orders[[#This Row],[Profit]]&gt;10000,"High Profit","Standard Profit")</f>
        <v>High Profit</v>
      </c>
      <c r="J36" s="13" t="str">
        <f>_xlfn.XLOOKUP(Orders[[#This Row],[OrderID]],SalesData[OrderID],SalesData[Region],"Not Found")</f>
        <v>North</v>
      </c>
      <c r="K36" s="13">
        <f>SUMIF(SalesData[OrderID],Orders[[#This Row],[OrderID]],SalesData[Quantity])</f>
        <v>7</v>
      </c>
      <c r="L36" s="13" t="str">
        <f>_xlfn.XLOOKUP(Orders[[#This Row],[OrderID]],SalesData[OrderID],SalesData[Category],"Not Found")</f>
        <v>Storage</v>
      </c>
      <c r="M36" s="16">
        <f>_xlfn.XLOOKUP(Orders[[#This Row],[Category]],ProductMaster[Category],ProductMaster[UnitCost],"Not Found")</f>
        <v>4700</v>
      </c>
    </row>
    <row r="37" spans="1:13" x14ac:dyDescent="0.35">
      <c r="A37">
        <v>1024</v>
      </c>
      <c r="B37">
        <v>18</v>
      </c>
      <c r="C37">
        <v>46144</v>
      </c>
      <c r="D37" s="1" t="s">
        <v>8</v>
      </c>
      <c r="E37" s="10">
        <f>SUMIF(SalesData[OrderID],Orders[[#This Row],[OrderID]],SalesData[Revenue])</f>
        <v>37200</v>
      </c>
      <c r="F37" s="10">
        <f>SUMIF(SalesData[OrderID],Orders[[#This Row],[OrderID]],SalesData[TotalCost])</f>
        <v>25800</v>
      </c>
      <c r="G37" s="11">
        <f>SUMIF(SalesData[OrderID],Orders[[#This Row],[OrderID]],SalesData[Profit])</f>
        <v>11400</v>
      </c>
      <c r="H37" s="12">
        <f>AVERAGEIF(SalesData[OrderID],Orders[[#This Row],[OrderID]],SalesData[ProfitMargin])</f>
        <v>0.30645161290322581</v>
      </c>
      <c r="I37" s="13" t="str">
        <f>IF(Orders[[#This Row],[Profit]]&gt;10000,"High Profit","Standard Profit")</f>
        <v>High Profit</v>
      </c>
      <c r="J37" s="13" t="str">
        <f>_xlfn.XLOOKUP(Orders[[#This Row],[OrderID]],SalesData[OrderID],SalesData[Region],"Not Found")</f>
        <v>East</v>
      </c>
      <c r="K37" s="13">
        <f>SUMIF(SalesData[OrderID],Orders[[#This Row],[OrderID]],SalesData[Quantity])</f>
        <v>6</v>
      </c>
      <c r="L37" s="13" t="str">
        <f>_xlfn.XLOOKUP(Orders[[#This Row],[OrderID]],SalesData[OrderID],SalesData[Category],"Not Found")</f>
        <v>Furniture</v>
      </c>
      <c r="M37" s="16">
        <f>_xlfn.XLOOKUP(Orders[[#This Row],[Category]],ProductMaster[Category],ProductMaster[UnitCost],"Not Found")</f>
        <v>3000</v>
      </c>
    </row>
    <row r="38" spans="1:13" x14ac:dyDescent="0.35">
      <c r="A38">
        <v>1037</v>
      </c>
      <c r="B38">
        <v>11</v>
      </c>
      <c r="C38">
        <v>46144</v>
      </c>
      <c r="D38" s="1" t="s">
        <v>9</v>
      </c>
      <c r="E38" s="10">
        <f>SUMIF(SalesData[OrderID],Orders[[#This Row],[OrderID]],SalesData[Revenue])</f>
        <v>349200</v>
      </c>
      <c r="F38" s="10">
        <f>SUMIF(SalesData[OrderID],Orders[[#This Row],[OrderID]],SalesData[TotalCost])</f>
        <v>268300</v>
      </c>
      <c r="G38" s="11">
        <f>SUMIF(SalesData[OrderID],Orders[[#This Row],[OrderID]],SalesData[Profit])</f>
        <v>80900</v>
      </c>
      <c r="H38" s="12">
        <f>AVERAGEIF(SalesData[OrderID],Orders[[#This Row],[OrderID]],SalesData[ProfitMargin])</f>
        <v>0.25927304475691565</v>
      </c>
      <c r="I38" s="13" t="str">
        <f>IF(Orders[[#This Row],[Profit]]&gt;10000,"High Profit","Standard Profit")</f>
        <v>High Profit</v>
      </c>
      <c r="J38" s="13" t="str">
        <f>_xlfn.XLOOKUP(Orders[[#This Row],[OrderID]],SalesData[OrderID],SalesData[Region],"Not Found")</f>
        <v>West</v>
      </c>
      <c r="K38" s="13">
        <f>SUMIF(SalesData[OrderID],Orders[[#This Row],[OrderID]],SalesData[Quantity])</f>
        <v>33</v>
      </c>
      <c r="L38" s="13" t="str">
        <f>_xlfn.XLOOKUP(Orders[[#This Row],[OrderID]],SalesData[OrderID],SalesData[Category],"Not Found")</f>
        <v>Electronics</v>
      </c>
      <c r="M38" s="16">
        <f>_xlfn.XLOOKUP(Orders[[#This Row],[Category]],ProductMaster[Category],ProductMaster[UnitCost],"Not Found")</f>
        <v>46000</v>
      </c>
    </row>
    <row r="39" spans="1:13" x14ac:dyDescent="0.35">
      <c r="A39">
        <v>1078</v>
      </c>
      <c r="B39">
        <v>7</v>
      </c>
      <c r="C39">
        <v>46150</v>
      </c>
      <c r="D39" s="1" t="s">
        <v>9</v>
      </c>
      <c r="E39" s="10">
        <f>SUMIF(SalesData[OrderID],Orders[[#This Row],[OrderID]],SalesData[Revenue])</f>
        <v>39400</v>
      </c>
      <c r="F39" s="10">
        <f>SUMIF(SalesData[OrderID],Orders[[#This Row],[OrderID]],SalesData[TotalCost])</f>
        <v>26300</v>
      </c>
      <c r="G39" s="11">
        <f>SUMIF(SalesData[OrderID],Orders[[#This Row],[OrderID]],SalesData[Profit])</f>
        <v>13100</v>
      </c>
      <c r="H39" s="12">
        <f>AVERAGEIF(SalesData[OrderID],Orders[[#This Row],[OrderID]],SalesData[ProfitMargin])</f>
        <v>0.36751152073732718</v>
      </c>
      <c r="I39" s="13" t="str">
        <f>IF(Orders[[#This Row],[Profit]]&gt;10000,"High Profit","Standard Profit")</f>
        <v>High Profit</v>
      </c>
      <c r="J39" s="13" t="str">
        <f>_xlfn.XLOOKUP(Orders[[#This Row],[OrderID]],SalesData[OrderID],SalesData[Region],"Not Found")</f>
        <v>North</v>
      </c>
      <c r="K39" s="13">
        <f>SUMIF(SalesData[OrderID],Orders[[#This Row],[OrderID]],SalesData[Quantity])</f>
        <v>17</v>
      </c>
      <c r="L39" s="13" t="str">
        <f>_xlfn.XLOOKUP(Orders[[#This Row],[OrderID]],SalesData[OrderID],SalesData[Category],"Not Found")</f>
        <v>Accessories</v>
      </c>
      <c r="M39" s="16">
        <f>_xlfn.XLOOKUP(Orders[[#This Row],[Category]],ProductMaster[Category],ProductMaster[UnitCost],"Not Found")</f>
        <v>400</v>
      </c>
    </row>
    <row r="40" spans="1:13" x14ac:dyDescent="0.35">
      <c r="A40">
        <v>1083</v>
      </c>
      <c r="B40">
        <v>18</v>
      </c>
      <c r="C40">
        <v>46150</v>
      </c>
      <c r="D40" s="1" t="s">
        <v>9</v>
      </c>
      <c r="E40" s="10">
        <f>SUMIF(SalesData[OrderID],Orders[[#This Row],[OrderID]],SalesData[Revenue])</f>
        <v>13000</v>
      </c>
      <c r="F40" s="10">
        <f>SUMIF(SalesData[OrderID],Orders[[#This Row],[OrderID]],SalesData[TotalCost])</f>
        <v>9400</v>
      </c>
      <c r="G40" s="11">
        <f>SUMIF(SalesData[OrderID],Orders[[#This Row],[OrderID]],SalesData[Profit])</f>
        <v>3600</v>
      </c>
      <c r="H40" s="12">
        <f>AVERAGEIF(SalesData[OrderID],Orders[[#This Row],[OrderID]],SalesData[ProfitMargin])</f>
        <v>0.27692307692307688</v>
      </c>
      <c r="I40" s="13" t="str">
        <f>IF(Orders[[#This Row],[Profit]]&gt;10000,"High Profit","Standard Profit")</f>
        <v>Standard Profit</v>
      </c>
      <c r="J40" s="13" t="str">
        <f>_xlfn.XLOOKUP(Orders[[#This Row],[OrderID]],SalesData[OrderID],SalesData[Region],"Not Found")</f>
        <v>East</v>
      </c>
      <c r="K40" s="13">
        <f>SUMIF(SalesData[OrderID],Orders[[#This Row],[OrderID]],SalesData[Quantity])</f>
        <v>2</v>
      </c>
      <c r="L40" s="13" t="str">
        <f>_xlfn.XLOOKUP(Orders[[#This Row],[OrderID]],SalesData[OrderID],SalesData[Category],"Not Found")</f>
        <v>Storage</v>
      </c>
      <c r="M40" s="16">
        <f>_xlfn.XLOOKUP(Orders[[#This Row],[Category]],ProductMaster[Category],ProductMaster[UnitCost],"Not Found")</f>
        <v>4700</v>
      </c>
    </row>
    <row r="41" spans="1:13" x14ac:dyDescent="0.35">
      <c r="A41">
        <v>1068</v>
      </c>
      <c r="B41">
        <v>4</v>
      </c>
      <c r="C41">
        <v>46151</v>
      </c>
      <c r="D41" s="1" t="s">
        <v>9</v>
      </c>
      <c r="E41" s="10">
        <f>SUMIF(SalesData[OrderID],Orders[[#This Row],[OrderID]],SalesData[Revenue])</f>
        <v>319000</v>
      </c>
      <c r="F41" s="10">
        <f>SUMIF(SalesData[OrderID],Orders[[#This Row],[OrderID]],SalesData[TotalCost])</f>
        <v>251000</v>
      </c>
      <c r="G41" s="11">
        <f>SUMIF(SalesData[OrderID],Orders[[#This Row],[OrderID]],SalesData[Profit])</f>
        <v>68000</v>
      </c>
      <c r="H41" s="12">
        <f>AVERAGEIF(SalesData[OrderID],Orders[[#This Row],[OrderID]],SalesData[ProfitMargin])</f>
        <v>0.22453007518796989</v>
      </c>
      <c r="I41" s="13" t="str">
        <f>IF(Orders[[#This Row],[Profit]]&gt;10000,"High Profit","Standard Profit")</f>
        <v>High Profit</v>
      </c>
      <c r="J41" s="13" t="str">
        <f>_xlfn.XLOOKUP(Orders[[#This Row],[OrderID]],SalesData[OrderID],SalesData[Region],"Not Found")</f>
        <v>West</v>
      </c>
      <c r="K41" s="13">
        <f>SUMIF(SalesData[OrderID],Orders[[#This Row],[OrderID]],SalesData[Quantity])</f>
        <v>18</v>
      </c>
      <c r="L41" s="13" t="str">
        <f>_xlfn.XLOOKUP(Orders[[#This Row],[OrderID]],SalesData[OrderID],SalesData[Category],"Not Found")</f>
        <v>Electronics</v>
      </c>
      <c r="M41" s="16">
        <f>_xlfn.XLOOKUP(Orders[[#This Row],[Category]],ProductMaster[Category],ProductMaster[UnitCost],"Not Found")</f>
        <v>46000</v>
      </c>
    </row>
    <row r="42" spans="1:13" x14ac:dyDescent="0.35">
      <c r="A42">
        <v>1053</v>
      </c>
      <c r="B42">
        <v>14</v>
      </c>
      <c r="C42">
        <v>46156</v>
      </c>
      <c r="D42" s="1" t="s">
        <v>8</v>
      </c>
      <c r="E42" s="10">
        <f>SUMIF(SalesData[OrderID],Orders[[#This Row],[OrderID]],SalesData[Revenue])</f>
        <v>318820</v>
      </c>
      <c r="F42" s="10">
        <f>SUMIF(SalesData[OrderID],Orders[[#This Row],[OrderID]],SalesData[TotalCost])</f>
        <v>279200</v>
      </c>
      <c r="G42" s="11">
        <f>SUMIF(SalesData[OrderID],Orders[[#This Row],[OrderID]],SalesData[Profit])</f>
        <v>39620</v>
      </c>
      <c r="H42" s="12">
        <f>AVERAGEIF(SalesData[OrderID],Orders[[#This Row],[OrderID]],SalesData[ProfitMargin])</f>
        <v>0.25905673274094326</v>
      </c>
      <c r="I42" s="13" t="str">
        <f>IF(Orders[[#This Row],[Profit]]&gt;10000,"High Profit","Standard Profit")</f>
        <v>High Profit</v>
      </c>
      <c r="J42" s="13" t="str">
        <f>_xlfn.XLOOKUP(Orders[[#This Row],[OrderID]],SalesData[OrderID],SalesData[Region],"Not Found")</f>
        <v>West</v>
      </c>
      <c r="K42" s="13">
        <f>SUMIF(SalesData[OrderID],Orders[[#This Row],[OrderID]],SalesData[Quantity])</f>
        <v>14</v>
      </c>
      <c r="L42" s="13" t="str">
        <f>_xlfn.XLOOKUP(Orders[[#This Row],[OrderID]],SalesData[OrderID],SalesData[Category],"Not Found")</f>
        <v>Electronics</v>
      </c>
      <c r="M42" s="16">
        <f>_xlfn.XLOOKUP(Orders[[#This Row],[Category]],ProductMaster[Category],ProductMaster[UnitCost],"Not Found")</f>
        <v>46000</v>
      </c>
    </row>
    <row r="43" spans="1:13" x14ac:dyDescent="0.35">
      <c r="A43">
        <v>1003</v>
      </c>
      <c r="B43">
        <v>33</v>
      </c>
      <c r="C43">
        <v>46157</v>
      </c>
      <c r="D43" s="1" t="s">
        <v>8</v>
      </c>
      <c r="E43" s="10">
        <f>SUMIF(SalesData[OrderID],Orders[[#This Row],[OrderID]],SalesData[Revenue])</f>
        <v>102000</v>
      </c>
      <c r="F43" s="10">
        <f>SUMIF(SalesData[OrderID],Orders[[#This Row],[OrderID]],SalesData[TotalCost])</f>
        <v>72600</v>
      </c>
      <c r="G43" s="11">
        <f>SUMIF(SalesData[OrderID],Orders[[#This Row],[OrderID]],SalesData[Profit])</f>
        <v>29400</v>
      </c>
      <c r="H43" s="12">
        <f>AVERAGEIF(SalesData[OrderID],Orders[[#This Row],[OrderID]],SalesData[ProfitMargin])</f>
        <v>0.29298245614035084</v>
      </c>
      <c r="I43" s="13" t="str">
        <f>IF(Orders[[#This Row],[Profit]]&gt;10000,"High Profit","Standard Profit")</f>
        <v>High Profit</v>
      </c>
      <c r="J43" s="13" t="str">
        <f>_xlfn.XLOOKUP(Orders[[#This Row],[OrderID]],SalesData[OrderID],SalesData[Region],"Not Found")</f>
        <v>East</v>
      </c>
      <c r="K43" s="13">
        <f>SUMIF(SalesData[OrderID],Orders[[#This Row],[OrderID]],SalesData[Quantity])</f>
        <v>16</v>
      </c>
      <c r="L43" s="13" t="str">
        <f>_xlfn.XLOOKUP(Orders[[#This Row],[OrderID]],SalesData[OrderID],SalesData[Category],"Not Found")</f>
        <v>Networking</v>
      </c>
      <c r="M43" s="16">
        <f>_xlfn.XLOOKUP(Orders[[#This Row],[Category]],ProductMaster[Category],ProductMaster[UnitCost],"Not Found")</f>
        <v>3400</v>
      </c>
    </row>
    <row r="44" spans="1:13" x14ac:dyDescent="0.35">
      <c r="A44">
        <v>1071</v>
      </c>
      <c r="B44">
        <v>11</v>
      </c>
      <c r="C44">
        <v>46157</v>
      </c>
      <c r="D44" s="1" t="s">
        <v>8</v>
      </c>
      <c r="E44" s="10">
        <f>SUMIF(SalesData[OrderID],Orders[[#This Row],[OrderID]],SalesData[Revenue])</f>
        <v>346500</v>
      </c>
      <c r="F44" s="10">
        <f>SUMIF(SalesData[OrderID],Orders[[#This Row],[OrderID]],SalesData[TotalCost])</f>
        <v>282800</v>
      </c>
      <c r="G44" s="11">
        <f>SUMIF(SalesData[OrderID],Orders[[#This Row],[OrderID]],SalesData[Profit])</f>
        <v>63700</v>
      </c>
      <c r="H44" s="12">
        <f>AVERAGEIF(SalesData[OrderID],Orders[[#This Row],[OrderID]],SalesData[ProfitMargin])</f>
        <v>0.23868193210298475</v>
      </c>
      <c r="I44" s="13" t="str">
        <f>IF(Orders[[#This Row],[Profit]]&gt;10000,"High Profit","Standard Profit")</f>
        <v>High Profit</v>
      </c>
      <c r="J44" s="13" t="str">
        <f>_xlfn.XLOOKUP(Orders[[#This Row],[OrderID]],SalesData[OrderID],SalesData[Region],"Not Found")</f>
        <v>West</v>
      </c>
      <c r="K44" s="13">
        <f>SUMIF(SalesData[OrderID],Orders[[#This Row],[OrderID]],SalesData[Quantity])</f>
        <v>22</v>
      </c>
      <c r="L44" s="13" t="str">
        <f>_xlfn.XLOOKUP(Orders[[#This Row],[OrderID]],SalesData[OrderID],SalesData[Category],"Not Found")</f>
        <v>Electronics</v>
      </c>
      <c r="M44" s="16">
        <f>_xlfn.XLOOKUP(Orders[[#This Row],[Category]],ProductMaster[Category],ProductMaster[UnitCost],"Not Found")</f>
        <v>46000</v>
      </c>
    </row>
    <row r="45" spans="1:13" x14ac:dyDescent="0.35">
      <c r="A45">
        <v>1093</v>
      </c>
      <c r="B45">
        <v>3</v>
      </c>
      <c r="C45">
        <v>46158</v>
      </c>
      <c r="D45" s="1" t="s">
        <v>9</v>
      </c>
      <c r="E45" s="10">
        <f>SUMIF(SalesData[OrderID],Orders[[#This Row],[OrderID]],SalesData[Revenue])</f>
        <v>38400</v>
      </c>
      <c r="F45" s="10">
        <f>SUMIF(SalesData[OrderID],Orders[[#This Row],[OrderID]],SalesData[TotalCost])</f>
        <v>27200</v>
      </c>
      <c r="G45" s="11">
        <f>SUMIF(SalesData[OrderID],Orders[[#This Row],[OrderID]],SalesData[Profit])</f>
        <v>11200</v>
      </c>
      <c r="H45" s="12">
        <f>AVERAGEIF(SalesData[OrderID],Orders[[#This Row],[OrderID]],SalesData[ProfitMargin])</f>
        <v>0.29166666666666669</v>
      </c>
      <c r="I45" s="13" t="str">
        <f>IF(Orders[[#This Row],[Profit]]&gt;10000,"High Profit","Standard Profit")</f>
        <v>High Profit</v>
      </c>
      <c r="J45" s="13" t="str">
        <f>_xlfn.XLOOKUP(Orders[[#This Row],[OrderID]],SalesData[OrderID],SalesData[Region],"Not Found")</f>
        <v>Central</v>
      </c>
      <c r="K45" s="13">
        <f>SUMIF(SalesData[OrderID],Orders[[#This Row],[OrderID]],SalesData[Quantity])</f>
        <v>8</v>
      </c>
      <c r="L45" s="13" t="str">
        <f>_xlfn.XLOOKUP(Orders[[#This Row],[OrderID]],SalesData[OrderID],SalesData[Category],"Not Found")</f>
        <v>Networking</v>
      </c>
      <c r="M45" s="16">
        <f>_xlfn.XLOOKUP(Orders[[#This Row],[Category]],ProductMaster[Category],ProductMaster[UnitCost],"Not Found")</f>
        <v>3400</v>
      </c>
    </row>
    <row r="46" spans="1:13" x14ac:dyDescent="0.35">
      <c r="A46">
        <v>1043</v>
      </c>
      <c r="B46">
        <v>14</v>
      </c>
      <c r="C46">
        <v>46174</v>
      </c>
      <c r="D46" s="1" t="s">
        <v>11</v>
      </c>
      <c r="E46" s="10">
        <f>SUMIF(SalesData[OrderID],Orders[[#This Row],[OrderID]],SalesData[Revenue])</f>
        <v>239000</v>
      </c>
      <c r="F46" s="10">
        <f>SUMIF(SalesData[OrderID],Orders[[#This Row],[OrderID]],SalesData[TotalCost])</f>
        <v>198200</v>
      </c>
      <c r="G46" s="11">
        <f>SUMIF(SalesData[OrderID],Orders[[#This Row],[OrderID]],SalesData[Profit])</f>
        <v>40800</v>
      </c>
      <c r="H46" s="12">
        <f>AVERAGEIF(SalesData[OrderID],Orders[[#This Row],[OrderID]],SalesData[ProfitMargin])</f>
        <v>0.208133971291866</v>
      </c>
      <c r="I46" s="13" t="str">
        <f>IF(Orders[[#This Row],[Profit]]&gt;10000,"High Profit","Standard Profit")</f>
        <v>High Profit</v>
      </c>
      <c r="J46" s="13" t="str">
        <f>_xlfn.XLOOKUP(Orders[[#This Row],[OrderID]],SalesData[OrderID],SalesData[Region],"Not Found")</f>
        <v>West</v>
      </c>
      <c r="K46" s="13">
        <f>SUMIF(SalesData[OrderID],Orders[[#This Row],[OrderID]],SalesData[Quantity])</f>
        <v>6</v>
      </c>
      <c r="L46" s="13" t="str">
        <f>_xlfn.XLOOKUP(Orders[[#This Row],[OrderID]],SalesData[OrderID],SalesData[Category],"Not Found")</f>
        <v>Networking</v>
      </c>
      <c r="M46" s="16">
        <f>_xlfn.XLOOKUP(Orders[[#This Row],[Category]],ProductMaster[Category],ProductMaster[UnitCost],"Not Found")</f>
        <v>3400</v>
      </c>
    </row>
    <row r="47" spans="1:13" x14ac:dyDescent="0.35">
      <c r="A47">
        <v>1005</v>
      </c>
      <c r="B47">
        <v>33</v>
      </c>
      <c r="C47">
        <v>46175</v>
      </c>
      <c r="D47" s="1" t="s">
        <v>9</v>
      </c>
      <c r="E47" s="10">
        <f>SUMIF(SalesData[OrderID],Orders[[#This Row],[OrderID]],SalesData[Revenue])</f>
        <v>344800</v>
      </c>
      <c r="F47" s="10">
        <f>SUMIF(SalesData[OrderID],Orders[[#This Row],[OrderID]],SalesData[TotalCost])</f>
        <v>267900</v>
      </c>
      <c r="G47" s="11">
        <f>SUMIF(SalesData[OrderID],Orders[[#This Row],[OrderID]],SalesData[Profit])</f>
        <v>76900</v>
      </c>
      <c r="H47" s="12">
        <f>AVERAGEIF(SalesData[OrderID],Orders[[#This Row],[OrderID]],SalesData[ProfitMargin])</f>
        <v>0.29117063492063489</v>
      </c>
      <c r="I47" s="13" t="str">
        <f>IF(Orders[[#This Row],[Profit]]&gt;10000,"High Profit","Standard Profit")</f>
        <v>High Profit</v>
      </c>
      <c r="J47" s="13" t="str">
        <f>_xlfn.XLOOKUP(Orders[[#This Row],[OrderID]],SalesData[OrderID],SalesData[Region],"Not Found")</f>
        <v>East</v>
      </c>
      <c r="K47" s="13">
        <f>SUMIF(SalesData[OrderID],Orders[[#This Row],[OrderID]],SalesData[Quantity])</f>
        <v>27</v>
      </c>
      <c r="L47" s="13" t="str">
        <f>_xlfn.XLOOKUP(Orders[[#This Row],[OrderID]],SalesData[OrderID],SalesData[Category],"Not Found")</f>
        <v>Electronics</v>
      </c>
      <c r="M47" s="16">
        <f>_xlfn.XLOOKUP(Orders[[#This Row],[Category]],ProductMaster[Category],ProductMaster[UnitCost],"Not Found")</f>
        <v>46000</v>
      </c>
    </row>
    <row r="48" spans="1:13" x14ac:dyDescent="0.35">
      <c r="A48">
        <v>1010</v>
      </c>
      <c r="B48">
        <v>16</v>
      </c>
      <c r="C48">
        <v>46180</v>
      </c>
      <c r="D48" s="1" t="s">
        <v>9</v>
      </c>
      <c r="E48" s="10">
        <f>SUMIF(SalesData[OrderID],Orders[[#This Row],[OrderID]],SalesData[Revenue])</f>
        <v>46800</v>
      </c>
      <c r="F48" s="10">
        <f>SUMIF(SalesData[OrderID],Orders[[#This Row],[OrderID]],SalesData[TotalCost])</f>
        <v>31200</v>
      </c>
      <c r="G48" s="11">
        <f>SUMIF(SalesData[OrderID],Orders[[#This Row],[OrderID]],SalesData[Profit])</f>
        <v>15600</v>
      </c>
      <c r="H48" s="12">
        <f>AVERAGEIF(SalesData[OrderID],Orders[[#This Row],[OrderID]],SalesData[ProfitMargin])</f>
        <v>0.34583333333333333</v>
      </c>
      <c r="I48" s="13" t="str">
        <f>IF(Orders[[#This Row],[Profit]]&gt;10000,"High Profit","Standard Profit")</f>
        <v>High Profit</v>
      </c>
      <c r="J48" s="13" t="str">
        <f>_xlfn.XLOOKUP(Orders[[#This Row],[OrderID]],SalesData[OrderID],SalesData[Region],"Not Found")</f>
        <v>West</v>
      </c>
      <c r="K48" s="13">
        <f>SUMIF(SalesData[OrderID],Orders[[#This Row],[OrderID]],SalesData[Quantity])</f>
        <v>18</v>
      </c>
      <c r="L48" s="13" t="str">
        <f>_xlfn.XLOOKUP(Orders[[#This Row],[OrderID]],SalesData[OrderID],SalesData[Category],"Not Found")</f>
        <v>Networking</v>
      </c>
      <c r="M48" s="16">
        <f>_xlfn.XLOOKUP(Orders[[#This Row],[Category]],ProductMaster[Category],ProductMaster[UnitCost],"Not Found")</f>
        <v>3400</v>
      </c>
    </row>
    <row r="49" spans="1:13" x14ac:dyDescent="0.35">
      <c r="A49">
        <v>1054</v>
      </c>
      <c r="B49">
        <v>16</v>
      </c>
      <c r="C49">
        <v>46183</v>
      </c>
      <c r="D49" s="1" t="s">
        <v>9</v>
      </c>
      <c r="E49" s="10">
        <f>SUMIF(SalesData[OrderID],Orders[[#This Row],[OrderID]],SalesData[Revenue])</f>
        <v>90300</v>
      </c>
      <c r="F49" s="10">
        <f>SUMIF(SalesData[OrderID],Orders[[#This Row],[OrderID]],SalesData[TotalCost])</f>
        <v>68400</v>
      </c>
      <c r="G49" s="11">
        <f>SUMIF(SalesData[OrderID],Orders[[#This Row],[OrderID]],SalesData[Profit])</f>
        <v>21900</v>
      </c>
      <c r="H49" s="12">
        <f>AVERAGEIF(SalesData[OrderID],Orders[[#This Row],[OrderID]],SalesData[ProfitMargin])</f>
        <v>0.24906282801019641</v>
      </c>
      <c r="I49" s="13" t="str">
        <f>IF(Orders[[#This Row],[Profit]]&gt;10000,"High Profit","Standard Profit")</f>
        <v>High Profit</v>
      </c>
      <c r="J49" s="13" t="str">
        <f>_xlfn.XLOOKUP(Orders[[#This Row],[OrderID]],SalesData[OrderID],SalesData[Region],"Not Found")</f>
        <v>West</v>
      </c>
      <c r="K49" s="13">
        <f>SUMIF(SalesData[OrderID],Orders[[#This Row],[OrderID]],SalesData[Quantity])</f>
        <v>16</v>
      </c>
      <c r="L49" s="13" t="str">
        <f>_xlfn.XLOOKUP(Orders[[#This Row],[OrderID]],SalesData[OrderID],SalesData[Category],"Not Found")</f>
        <v>Furniture</v>
      </c>
      <c r="M49" s="16">
        <f>_xlfn.XLOOKUP(Orders[[#This Row],[Category]],ProductMaster[Category],ProductMaster[UnitCost],"Not Found")</f>
        <v>3000</v>
      </c>
    </row>
    <row r="50" spans="1:13" x14ac:dyDescent="0.35">
      <c r="A50">
        <v>1095</v>
      </c>
      <c r="B50">
        <v>28</v>
      </c>
      <c r="C50">
        <v>46183</v>
      </c>
      <c r="D50" s="1" t="s">
        <v>9</v>
      </c>
      <c r="E50" s="10">
        <f>SUMIF(SalesData[OrderID],Orders[[#This Row],[OrderID]],SalesData[Revenue])</f>
        <v>120840</v>
      </c>
      <c r="F50" s="10">
        <f>SUMIF(SalesData[OrderID],Orders[[#This Row],[OrderID]],SalesData[TotalCost])</f>
        <v>99100</v>
      </c>
      <c r="G50" s="11">
        <f>SUMIF(SalesData[OrderID],Orders[[#This Row],[OrderID]],SalesData[Profit])</f>
        <v>21740</v>
      </c>
      <c r="H50" s="12">
        <f>AVERAGEIF(SalesData[OrderID],Orders[[#This Row],[OrderID]],SalesData[ProfitMargin])</f>
        <v>0.21052631578947373</v>
      </c>
      <c r="I50" s="13" t="str">
        <f>IF(Orders[[#This Row],[Profit]]&gt;10000,"High Profit","Standard Profit")</f>
        <v>High Profit</v>
      </c>
      <c r="J50" s="13" t="str">
        <f>_xlfn.XLOOKUP(Orders[[#This Row],[OrderID]],SalesData[OrderID],SalesData[Region],"Not Found")</f>
        <v>Central</v>
      </c>
      <c r="K50" s="13">
        <f>SUMIF(SalesData[OrderID],Orders[[#This Row],[OrderID]],SalesData[Quantity])</f>
        <v>13</v>
      </c>
      <c r="L50" s="13" t="str">
        <f>_xlfn.XLOOKUP(Orders[[#This Row],[OrderID]],SalesData[OrderID],SalesData[Category],"Not Found")</f>
        <v>Electronics</v>
      </c>
      <c r="M50" s="16">
        <f>_xlfn.XLOOKUP(Orders[[#This Row],[Category]],ProductMaster[Category],ProductMaster[UnitCost],"Not Found")</f>
        <v>46000</v>
      </c>
    </row>
    <row r="51" spans="1:13" x14ac:dyDescent="0.35">
      <c r="A51">
        <v>1070</v>
      </c>
      <c r="B51">
        <v>9</v>
      </c>
      <c r="C51">
        <v>46193</v>
      </c>
      <c r="D51" s="1" t="s">
        <v>8</v>
      </c>
      <c r="E51" s="10">
        <f>SUMIF(SalesData[OrderID],Orders[[#This Row],[OrderID]],SalesData[Revenue])</f>
        <v>61120</v>
      </c>
      <c r="F51" s="10">
        <f>SUMIF(SalesData[OrderID],Orders[[#This Row],[OrderID]],SalesData[TotalCost])</f>
        <v>40800</v>
      </c>
      <c r="G51" s="11">
        <f>SUMIF(SalesData[OrderID],Orders[[#This Row],[OrderID]],SalesData[Profit])</f>
        <v>20320</v>
      </c>
      <c r="H51" s="12">
        <f>AVERAGEIF(SalesData[OrderID],Orders[[#This Row],[OrderID]],SalesData[ProfitMargin])</f>
        <v>0.33876357560568088</v>
      </c>
      <c r="I51" s="13" t="str">
        <f>IF(Orders[[#This Row],[Profit]]&gt;10000,"High Profit","Standard Profit")</f>
        <v>High Profit</v>
      </c>
      <c r="J51" s="13" t="str">
        <f>_xlfn.XLOOKUP(Orders[[#This Row],[OrderID]],SalesData[OrderID],SalesData[Region],"Not Found")</f>
        <v>South</v>
      </c>
      <c r="K51" s="13">
        <f>SUMIF(SalesData[OrderID],Orders[[#This Row],[OrderID]],SalesData[Quantity])</f>
        <v>22</v>
      </c>
      <c r="L51" s="13" t="str">
        <f>_xlfn.XLOOKUP(Orders[[#This Row],[OrderID]],SalesData[OrderID],SalesData[Category],"Not Found")</f>
        <v>Accessories</v>
      </c>
      <c r="M51" s="16">
        <f>_xlfn.XLOOKUP(Orders[[#This Row],[Category]],ProductMaster[Category],ProductMaster[UnitCost],"Not Found")</f>
        <v>400</v>
      </c>
    </row>
    <row r="52" spans="1:13" x14ac:dyDescent="0.35">
      <c r="A52">
        <v>1082</v>
      </c>
      <c r="B52">
        <v>27</v>
      </c>
      <c r="C52">
        <v>46193</v>
      </c>
      <c r="D52" s="1" t="s">
        <v>10</v>
      </c>
      <c r="E52" s="10">
        <f>SUMIF(SalesData[OrderID],Orders[[#This Row],[OrderID]],SalesData[Revenue])</f>
        <v>92500</v>
      </c>
      <c r="F52" s="10">
        <f>SUMIF(SalesData[OrderID],Orders[[#This Row],[OrderID]],SalesData[TotalCost])</f>
        <v>73700</v>
      </c>
      <c r="G52" s="11">
        <f>SUMIF(SalesData[OrderID],Orders[[#This Row],[OrderID]],SalesData[Profit])</f>
        <v>18800</v>
      </c>
      <c r="H52" s="12">
        <f>AVERAGEIF(SalesData[OrderID],Orders[[#This Row],[OrderID]],SalesData[ProfitMargin])</f>
        <v>0.23350840336134449</v>
      </c>
      <c r="I52" s="13" t="str">
        <f>IF(Orders[[#This Row],[Profit]]&gt;10000,"High Profit","Standard Profit")</f>
        <v>High Profit</v>
      </c>
      <c r="J52" s="13" t="str">
        <f>_xlfn.XLOOKUP(Orders[[#This Row],[OrderID]],SalesData[OrderID],SalesData[Region],"Not Found")</f>
        <v>North</v>
      </c>
      <c r="K52" s="13">
        <f>SUMIF(SalesData[OrderID],Orders[[#This Row],[OrderID]],SalesData[Quantity])</f>
        <v>4</v>
      </c>
      <c r="L52" s="13" t="str">
        <f>_xlfn.XLOOKUP(Orders[[#This Row],[OrderID]],SalesData[OrderID],SalesData[Category],"Not Found")</f>
        <v>Electronics</v>
      </c>
      <c r="M52" s="16">
        <f>_xlfn.XLOOKUP(Orders[[#This Row],[Category]],ProductMaster[Category],ProductMaster[UnitCost],"Not Found")</f>
        <v>46000</v>
      </c>
    </row>
    <row r="53" spans="1:13" x14ac:dyDescent="0.35">
      <c r="A53">
        <v>1031</v>
      </c>
      <c r="B53">
        <v>7</v>
      </c>
      <c r="C53">
        <v>46196</v>
      </c>
      <c r="D53" s="1" t="s">
        <v>9</v>
      </c>
      <c r="E53" s="10">
        <f>SUMIF(SalesData[OrderID],Orders[[#This Row],[OrderID]],SalesData[Revenue])</f>
        <v>4050</v>
      </c>
      <c r="F53" s="10">
        <f>SUMIF(SalesData[OrderID],Orders[[#This Row],[OrderID]],SalesData[TotalCost])</f>
        <v>3000</v>
      </c>
      <c r="G53" s="11">
        <f>SUMIF(SalesData[OrderID],Orders[[#This Row],[OrderID]],SalesData[Profit])</f>
        <v>1050</v>
      </c>
      <c r="H53" s="12">
        <f>AVERAGEIF(SalesData[OrderID],Orders[[#This Row],[OrderID]],SalesData[ProfitMargin])</f>
        <v>0.25925925925925919</v>
      </c>
      <c r="I53" s="13" t="str">
        <f>IF(Orders[[#This Row],[Profit]]&gt;10000,"High Profit","Standard Profit")</f>
        <v>Standard Profit</v>
      </c>
      <c r="J53" s="13" t="str">
        <f>_xlfn.XLOOKUP(Orders[[#This Row],[OrderID]],SalesData[OrderID],SalesData[Region],"Not Found")</f>
        <v>North</v>
      </c>
      <c r="K53" s="13">
        <f>SUMIF(SalesData[OrderID],Orders[[#This Row],[OrderID]],SalesData[Quantity])</f>
        <v>1</v>
      </c>
      <c r="L53" s="13" t="str">
        <f>_xlfn.XLOOKUP(Orders[[#This Row],[OrderID]],SalesData[OrderID],SalesData[Category],"Not Found")</f>
        <v>Furniture</v>
      </c>
      <c r="M53" s="16">
        <f>_xlfn.XLOOKUP(Orders[[#This Row],[Category]],ProductMaster[Category],ProductMaster[UnitCost],"Not Found")</f>
        <v>3000</v>
      </c>
    </row>
    <row r="54" spans="1:13" x14ac:dyDescent="0.35">
      <c r="A54">
        <v>1059</v>
      </c>
      <c r="B54">
        <v>5</v>
      </c>
      <c r="C54">
        <v>46201</v>
      </c>
      <c r="D54" s="1" t="s">
        <v>10</v>
      </c>
      <c r="E54" s="10">
        <f>SUMIF(SalesData[OrderID],Orders[[#This Row],[OrderID]],SalesData[Revenue])</f>
        <v>238140</v>
      </c>
      <c r="F54" s="10">
        <f>SUMIF(SalesData[OrderID],Orders[[#This Row],[OrderID]],SalesData[TotalCost])</f>
        <v>184800</v>
      </c>
      <c r="G54" s="11">
        <f>SUMIF(SalesData[OrderID],Orders[[#This Row],[OrderID]],SalesData[Profit])</f>
        <v>53340</v>
      </c>
      <c r="H54" s="12">
        <f>AVERAGEIF(SalesData[OrderID],Orders[[#This Row],[OrderID]],SalesData[ProfitMargin])</f>
        <v>0.24691358024691357</v>
      </c>
      <c r="I54" s="13" t="str">
        <f>IF(Orders[[#This Row],[Profit]]&gt;10000,"High Profit","Standard Profit")</f>
        <v>High Profit</v>
      </c>
      <c r="J54" s="13" t="str">
        <f>_xlfn.XLOOKUP(Orders[[#This Row],[OrderID]],SalesData[OrderID],SalesData[Region],"Not Found")</f>
        <v>North</v>
      </c>
      <c r="K54" s="13">
        <f>SUMIF(SalesData[OrderID],Orders[[#This Row],[OrderID]],SalesData[Quantity])</f>
        <v>23</v>
      </c>
      <c r="L54" s="13" t="str">
        <f>_xlfn.XLOOKUP(Orders[[#This Row],[OrderID]],SalesData[OrderID],SalesData[Category],"Not Found")</f>
        <v>Furniture</v>
      </c>
      <c r="M54" s="16">
        <f>_xlfn.XLOOKUP(Orders[[#This Row],[Category]],ProductMaster[Category],ProductMaster[UnitCost],"Not Found")</f>
        <v>3000</v>
      </c>
    </row>
    <row r="55" spans="1:13" x14ac:dyDescent="0.35">
      <c r="A55">
        <v>1060</v>
      </c>
      <c r="B55">
        <v>19</v>
      </c>
      <c r="C55">
        <v>46212</v>
      </c>
      <c r="D55" s="1" t="s">
        <v>9</v>
      </c>
      <c r="E55" s="10">
        <f>SUMIF(SalesData[OrderID],Orders[[#This Row],[OrderID]],SalesData[Revenue])</f>
        <v>10490</v>
      </c>
      <c r="F55" s="10">
        <f>SUMIF(SalesData[OrderID],Orders[[#This Row],[OrderID]],SalesData[TotalCost])</f>
        <v>7100</v>
      </c>
      <c r="G55" s="11">
        <f>SUMIF(SalesData[OrderID],Orders[[#This Row],[OrderID]],SalesData[Profit])</f>
        <v>3390</v>
      </c>
      <c r="H55" s="12">
        <f>AVERAGEIF(SalesData[OrderID],Orders[[#This Row],[OrderID]],SalesData[ProfitMargin])</f>
        <v>0.33770965876229031</v>
      </c>
      <c r="I55" s="13" t="str">
        <f>IF(Orders[[#This Row],[Profit]]&gt;10000,"High Profit","Standard Profit")</f>
        <v>Standard Profit</v>
      </c>
      <c r="J55" s="13" t="str">
        <f>_xlfn.XLOOKUP(Orders[[#This Row],[OrderID]],SalesData[OrderID],SalesData[Region],"Not Found")</f>
        <v>North</v>
      </c>
      <c r="K55" s="13">
        <f>SUMIF(SalesData[OrderID],Orders[[#This Row],[OrderID]],SalesData[Quantity])</f>
        <v>7</v>
      </c>
      <c r="L55" s="13" t="str">
        <f>_xlfn.XLOOKUP(Orders[[#This Row],[OrderID]],SalesData[OrderID],SalesData[Category],"Not Found")</f>
        <v>Accessories</v>
      </c>
      <c r="M55" s="16">
        <f>_xlfn.XLOOKUP(Orders[[#This Row],[Category]],ProductMaster[Category],ProductMaster[UnitCost],"Not Found")</f>
        <v>400</v>
      </c>
    </row>
    <row r="56" spans="1:13" x14ac:dyDescent="0.35">
      <c r="A56">
        <v>1075</v>
      </c>
      <c r="B56">
        <v>10</v>
      </c>
      <c r="C56">
        <v>46212</v>
      </c>
      <c r="D56" s="1" t="s">
        <v>9</v>
      </c>
      <c r="E56" s="10">
        <f>SUMIF(SalesData[OrderID],Orders[[#This Row],[OrderID]],SalesData[Revenue])</f>
        <v>97000</v>
      </c>
      <c r="F56" s="10">
        <f>SUMIF(SalesData[OrderID],Orders[[#This Row],[OrderID]],SalesData[TotalCost])</f>
        <v>75900</v>
      </c>
      <c r="G56" s="11">
        <f>SUMIF(SalesData[OrderID],Orders[[#This Row],[OrderID]],SalesData[Profit])</f>
        <v>21100</v>
      </c>
      <c r="H56" s="12">
        <f>AVERAGEIF(SalesData[OrderID],Orders[[#This Row],[OrderID]],SalesData[ProfitMargin])</f>
        <v>0.2426282051282051</v>
      </c>
      <c r="I56" s="13" t="str">
        <f>IF(Orders[[#This Row],[Profit]]&gt;10000,"High Profit","Standard Profit")</f>
        <v>High Profit</v>
      </c>
      <c r="J56" s="13" t="str">
        <f>_xlfn.XLOOKUP(Orders[[#This Row],[OrderID]],SalesData[OrderID],SalesData[Region],"Not Found")</f>
        <v>South</v>
      </c>
      <c r="K56" s="13">
        <f>SUMIF(SalesData[OrderID],Orders[[#This Row],[OrderID]],SalesData[Quantity])</f>
        <v>9</v>
      </c>
      <c r="L56" s="13" t="str">
        <f>_xlfn.XLOOKUP(Orders[[#This Row],[OrderID]],SalesData[OrderID],SalesData[Category],"Not Found")</f>
        <v>Electronics</v>
      </c>
      <c r="M56" s="16">
        <f>_xlfn.XLOOKUP(Orders[[#This Row],[Category]],ProductMaster[Category],ProductMaster[UnitCost],"Not Found")</f>
        <v>46000</v>
      </c>
    </row>
    <row r="57" spans="1:13" x14ac:dyDescent="0.35">
      <c r="A57">
        <v>1040</v>
      </c>
      <c r="B57">
        <v>17</v>
      </c>
      <c r="C57">
        <v>46222</v>
      </c>
      <c r="D57" s="1" t="s">
        <v>11</v>
      </c>
      <c r="E57" s="10">
        <f>SUMIF(SalesData[OrderID],Orders[[#This Row],[OrderID]],SalesData[Revenue])</f>
        <v>321900</v>
      </c>
      <c r="F57" s="10">
        <f>SUMIF(SalesData[OrderID],Orders[[#This Row],[OrderID]],SalesData[TotalCost])</f>
        <v>294300</v>
      </c>
      <c r="G57" s="11">
        <f>SUMIF(SalesData[OrderID],Orders[[#This Row],[OrderID]],SalesData[Profit])</f>
        <v>27600</v>
      </c>
      <c r="H57" s="12">
        <f>AVERAGEIF(SalesData[OrderID],Orders[[#This Row],[OrderID]],SalesData[ProfitMargin])</f>
        <v>0.17313178077066968</v>
      </c>
      <c r="I57" s="13" t="str">
        <f>IF(Orders[[#This Row],[Profit]]&gt;10000,"High Profit","Standard Profit")</f>
        <v>High Profit</v>
      </c>
      <c r="J57" s="13" t="str">
        <f>_xlfn.XLOOKUP(Orders[[#This Row],[OrderID]],SalesData[OrderID],SalesData[Region],"Not Found")</f>
        <v>West</v>
      </c>
      <c r="K57" s="13">
        <f>SUMIF(SalesData[OrderID],Orders[[#This Row],[OrderID]],SalesData[Quantity])</f>
        <v>12</v>
      </c>
      <c r="L57" s="13" t="str">
        <f>_xlfn.XLOOKUP(Orders[[#This Row],[OrderID]],SalesData[OrderID],SalesData[Category],"Not Found")</f>
        <v>Accessories</v>
      </c>
      <c r="M57" s="16">
        <f>_xlfn.XLOOKUP(Orders[[#This Row],[Category]],ProductMaster[Category],ProductMaster[UnitCost],"Not Found")</f>
        <v>400</v>
      </c>
    </row>
    <row r="58" spans="1:13" x14ac:dyDescent="0.35">
      <c r="A58">
        <v>1017</v>
      </c>
      <c r="B58">
        <v>24</v>
      </c>
      <c r="C58">
        <v>46227</v>
      </c>
      <c r="D58" s="1" t="s">
        <v>9</v>
      </c>
      <c r="E58" s="10">
        <f>SUMIF(SalesData[OrderID],Orders[[#This Row],[OrderID]],SalesData[Revenue])</f>
        <v>135200</v>
      </c>
      <c r="F58" s="10">
        <f>SUMIF(SalesData[OrderID],Orders[[#This Row],[OrderID]],SalesData[TotalCost])</f>
        <v>97650</v>
      </c>
      <c r="G58" s="11">
        <f>SUMIF(SalesData[OrderID],Orders[[#This Row],[OrderID]],SalesData[Profit])</f>
        <v>37550</v>
      </c>
      <c r="H58" s="12">
        <f>AVERAGEIF(SalesData[OrderID],Orders[[#This Row],[OrderID]],SalesData[ProfitMargin])</f>
        <v>0.31514894273807686</v>
      </c>
      <c r="I58" s="13" t="str">
        <f>IF(Orders[[#This Row],[Profit]]&gt;10000,"High Profit","Standard Profit")</f>
        <v>High Profit</v>
      </c>
      <c r="J58" s="13" t="str">
        <f>_xlfn.XLOOKUP(Orders[[#This Row],[OrderID]],SalesData[OrderID],SalesData[Region],"Not Found")</f>
        <v>South</v>
      </c>
      <c r="K58" s="13">
        <f>SUMIF(SalesData[OrderID],Orders[[#This Row],[OrderID]],SalesData[Quantity])</f>
        <v>21</v>
      </c>
      <c r="L58" s="13" t="str">
        <f>_xlfn.XLOOKUP(Orders[[#This Row],[OrderID]],SalesData[OrderID],SalesData[Category],"Not Found")</f>
        <v>Networking</v>
      </c>
      <c r="M58" s="16">
        <f>_xlfn.XLOOKUP(Orders[[#This Row],[Category]],ProductMaster[Category],ProductMaster[UnitCost],"Not Found")</f>
        <v>3400</v>
      </c>
    </row>
    <row r="59" spans="1:13" x14ac:dyDescent="0.35">
      <c r="A59">
        <v>1029</v>
      </c>
      <c r="B59">
        <v>30</v>
      </c>
      <c r="C59">
        <v>46233</v>
      </c>
      <c r="D59" s="1" t="s">
        <v>10</v>
      </c>
      <c r="E59" s="10">
        <f>SUMIF(SalesData[OrderID],Orders[[#This Row],[OrderID]],SalesData[Revenue])</f>
        <v>53500</v>
      </c>
      <c r="F59" s="10">
        <f>SUMIF(SalesData[OrderID],Orders[[#This Row],[OrderID]],SalesData[TotalCost])</f>
        <v>34500</v>
      </c>
      <c r="G59" s="11">
        <f>SUMIF(SalesData[OrderID],Orders[[#This Row],[OrderID]],SalesData[Profit])</f>
        <v>19000</v>
      </c>
      <c r="H59" s="12">
        <f>AVERAGEIF(SalesData[OrderID],Orders[[#This Row],[OrderID]],SalesData[ProfitMargin])</f>
        <v>0.35984848484848486</v>
      </c>
      <c r="I59" s="13" t="str">
        <f>IF(Orders[[#This Row],[Profit]]&gt;10000,"High Profit","Standard Profit")</f>
        <v>High Profit</v>
      </c>
      <c r="J59" s="13" t="str">
        <f>_xlfn.XLOOKUP(Orders[[#This Row],[OrderID]],SalesData[OrderID],SalesData[Region],"Not Found")</f>
        <v>North</v>
      </c>
      <c r="K59" s="13">
        <f>SUMIF(SalesData[OrderID],Orders[[#This Row],[OrderID]],SalesData[Quantity])</f>
        <v>17</v>
      </c>
      <c r="L59" s="13" t="str">
        <f>_xlfn.XLOOKUP(Orders[[#This Row],[OrderID]],SalesData[OrderID],SalesData[Category],"Not Found")</f>
        <v>Furniture</v>
      </c>
      <c r="M59" s="16">
        <f>_xlfn.XLOOKUP(Orders[[#This Row],[Category]],ProductMaster[Category],ProductMaster[UnitCost],"Not Found")</f>
        <v>3000</v>
      </c>
    </row>
    <row r="60" spans="1:13" x14ac:dyDescent="0.35">
      <c r="A60">
        <v>1069</v>
      </c>
      <c r="B60">
        <v>18</v>
      </c>
      <c r="C60">
        <v>46239</v>
      </c>
      <c r="D60" s="1" t="s">
        <v>9</v>
      </c>
      <c r="E60" s="10">
        <f>SUMIF(SalesData[OrderID],Orders[[#This Row],[OrderID]],SalesData[Revenue])</f>
        <v>23760</v>
      </c>
      <c r="F60" s="10">
        <f>SUMIF(SalesData[OrderID],Orders[[#This Row],[OrderID]],SalesData[TotalCost])</f>
        <v>16200</v>
      </c>
      <c r="G60" s="11">
        <f>SUMIF(SalesData[OrderID],Orders[[#This Row],[OrderID]],SalesData[Profit])</f>
        <v>7560</v>
      </c>
      <c r="H60" s="12">
        <f>AVERAGEIF(SalesData[OrderID],Orders[[#This Row],[OrderID]],SalesData[ProfitMargin])</f>
        <v>0.31818181818181818</v>
      </c>
      <c r="I60" s="13" t="str">
        <f>IF(Orders[[#This Row],[Profit]]&gt;10000,"High Profit","Standard Profit")</f>
        <v>Standard Profit</v>
      </c>
      <c r="J60" s="13" t="str">
        <f>_xlfn.XLOOKUP(Orders[[#This Row],[OrderID]],SalesData[OrderID],SalesData[Region],"Not Found")</f>
        <v>East</v>
      </c>
      <c r="K60" s="13">
        <f>SUMIF(SalesData[OrderID],Orders[[#This Row],[OrderID]],SalesData[Quantity])</f>
        <v>12</v>
      </c>
      <c r="L60" s="13" t="str">
        <f>_xlfn.XLOOKUP(Orders[[#This Row],[OrderID]],SalesData[OrderID],SalesData[Category],"Not Found")</f>
        <v>Accessories</v>
      </c>
      <c r="M60" s="16">
        <f>_xlfn.XLOOKUP(Orders[[#This Row],[Category]],ProductMaster[Category],ProductMaster[UnitCost],"Not Found")</f>
        <v>400</v>
      </c>
    </row>
    <row r="61" spans="1:13" x14ac:dyDescent="0.35">
      <c r="A61">
        <v>1094</v>
      </c>
      <c r="B61">
        <v>23</v>
      </c>
      <c r="C61">
        <v>46245</v>
      </c>
      <c r="D61" s="1" t="s">
        <v>8</v>
      </c>
      <c r="E61" s="10">
        <f>SUMIF(SalesData[OrderID],Orders[[#This Row],[OrderID]],SalesData[Revenue])</f>
        <v>12800</v>
      </c>
      <c r="F61" s="10">
        <f>SUMIF(SalesData[OrderID],Orders[[#This Row],[OrderID]],SalesData[TotalCost])</f>
        <v>8400</v>
      </c>
      <c r="G61" s="11">
        <f>SUMIF(SalesData[OrderID],Orders[[#This Row],[OrderID]],SalesData[Profit])</f>
        <v>4400</v>
      </c>
      <c r="H61" s="12">
        <f>AVERAGEIF(SalesData[OrderID],Orders[[#This Row],[OrderID]],SalesData[ProfitMargin])</f>
        <v>0.34375</v>
      </c>
      <c r="I61" s="13" t="str">
        <f>IF(Orders[[#This Row],[Profit]]&gt;10000,"High Profit","Standard Profit")</f>
        <v>Standard Profit</v>
      </c>
      <c r="J61" s="13" t="str">
        <f>_xlfn.XLOOKUP(Orders[[#This Row],[OrderID]],SalesData[OrderID],SalesData[Region],"Not Found")</f>
        <v>South</v>
      </c>
      <c r="K61" s="13">
        <f>SUMIF(SalesData[OrderID],Orders[[#This Row],[OrderID]],SalesData[Quantity])</f>
        <v>4</v>
      </c>
      <c r="L61" s="13" t="str">
        <f>_xlfn.XLOOKUP(Orders[[#This Row],[OrderID]],SalesData[OrderID],SalesData[Category],"Not Found")</f>
        <v>Accessories</v>
      </c>
      <c r="M61" s="16">
        <f>_xlfn.XLOOKUP(Orders[[#This Row],[Category]],ProductMaster[Category],ProductMaster[UnitCost],"Not Found")</f>
        <v>400</v>
      </c>
    </row>
    <row r="62" spans="1:13" x14ac:dyDescent="0.35">
      <c r="A62">
        <v>1002</v>
      </c>
      <c r="B62">
        <v>1</v>
      </c>
      <c r="C62">
        <v>46255</v>
      </c>
      <c r="D62" s="1" t="s">
        <v>11</v>
      </c>
      <c r="E62" s="10">
        <f>SUMIF(SalesData[OrderID],Orders[[#This Row],[OrderID]],SalesData[Revenue])</f>
        <v>98200</v>
      </c>
      <c r="F62" s="10">
        <f>SUMIF(SalesData[OrderID],Orders[[#This Row],[OrderID]],SalesData[TotalCost])</f>
        <v>80000</v>
      </c>
      <c r="G62" s="11">
        <f>SUMIF(SalesData[OrderID],Orders[[#This Row],[OrderID]],SalesData[Profit])</f>
        <v>18200</v>
      </c>
      <c r="H62" s="12">
        <f>AVERAGEIF(SalesData[OrderID],Orders[[#This Row],[OrderID]],SalesData[ProfitMargin])</f>
        <v>0.18560289612921191</v>
      </c>
      <c r="I62" s="13" t="str">
        <f>IF(Orders[[#This Row],[Profit]]&gt;10000,"High Profit","Standard Profit")</f>
        <v>High Profit</v>
      </c>
      <c r="J62" s="13" t="str">
        <f>_xlfn.XLOOKUP(Orders[[#This Row],[OrderID]],SalesData[OrderID],SalesData[Region],"Not Found")</f>
        <v>West</v>
      </c>
      <c r="K62" s="13">
        <f>SUMIF(SalesData[OrderID],Orders[[#This Row],[OrderID]],SalesData[Quantity])</f>
        <v>6</v>
      </c>
      <c r="L62" s="13" t="str">
        <f>_xlfn.XLOOKUP(Orders[[#This Row],[OrderID]],SalesData[OrderID],SalesData[Category],"Not Found")</f>
        <v>Electronics</v>
      </c>
      <c r="M62" s="16">
        <f>_xlfn.XLOOKUP(Orders[[#This Row],[Category]],ProductMaster[Category],ProductMaster[UnitCost],"Not Found")</f>
        <v>46000</v>
      </c>
    </row>
    <row r="63" spans="1:13" x14ac:dyDescent="0.35">
      <c r="A63">
        <v>1041</v>
      </c>
      <c r="B63">
        <v>19</v>
      </c>
      <c r="C63">
        <v>46255</v>
      </c>
      <c r="D63" s="1" t="s">
        <v>9</v>
      </c>
      <c r="E63" s="10">
        <f>SUMIF(SalesData[OrderID],Orders[[#This Row],[OrderID]],SalesData[Revenue])</f>
        <v>40490</v>
      </c>
      <c r="F63" s="10">
        <f>SUMIF(SalesData[OrderID],Orders[[#This Row],[OrderID]],SalesData[TotalCost])</f>
        <v>28550</v>
      </c>
      <c r="G63" s="11">
        <f>SUMIF(SalesData[OrderID],Orders[[#This Row],[OrderID]],SalesData[Profit])</f>
        <v>11940</v>
      </c>
      <c r="H63" s="12">
        <f>AVERAGEIF(SalesData[OrderID],Orders[[#This Row],[OrderID]],SalesData[ProfitMargin])</f>
        <v>0.3228668261562998</v>
      </c>
      <c r="I63" s="13" t="str">
        <f>IF(Orders[[#This Row],[Profit]]&gt;10000,"High Profit","Standard Profit")</f>
        <v>High Profit</v>
      </c>
      <c r="J63" s="13" t="str">
        <f>_xlfn.XLOOKUP(Orders[[#This Row],[OrderID]],SalesData[OrderID],SalesData[Region],"Not Found")</f>
        <v>North</v>
      </c>
      <c r="K63" s="13">
        <f>SUMIF(SalesData[OrderID],Orders[[#This Row],[OrderID]],SalesData[Quantity])</f>
        <v>9</v>
      </c>
      <c r="L63" s="13" t="str">
        <f>_xlfn.XLOOKUP(Orders[[#This Row],[OrderID]],SalesData[OrderID],SalesData[Category],"Not Found")</f>
        <v>Networking</v>
      </c>
      <c r="M63" s="16">
        <f>_xlfn.XLOOKUP(Orders[[#This Row],[Category]],ProductMaster[Category],ProductMaster[UnitCost],"Not Found")</f>
        <v>3400</v>
      </c>
    </row>
    <row r="64" spans="1:13" x14ac:dyDescent="0.35">
      <c r="A64">
        <v>1086</v>
      </c>
      <c r="B64">
        <v>23</v>
      </c>
      <c r="C64">
        <v>46258</v>
      </c>
      <c r="D64" s="1" t="s">
        <v>9</v>
      </c>
      <c r="E64" s="10">
        <f>SUMIF(SalesData[OrderID],Orders[[#This Row],[OrderID]],SalesData[Revenue])</f>
        <v>66150</v>
      </c>
      <c r="F64" s="10">
        <f>SUMIF(SalesData[OrderID],Orders[[#This Row],[OrderID]],SalesData[TotalCost])</f>
        <v>46800</v>
      </c>
      <c r="G64" s="11">
        <f>SUMIF(SalesData[OrderID],Orders[[#This Row],[OrderID]],SalesData[Profit])</f>
        <v>19350</v>
      </c>
      <c r="H64" s="12">
        <f>AVERAGEIF(SalesData[OrderID],Orders[[#This Row],[OrderID]],SalesData[ProfitMargin])</f>
        <v>0.29495614035087719</v>
      </c>
      <c r="I64" s="13" t="str">
        <f>IF(Orders[[#This Row],[Profit]]&gt;10000,"High Profit","Standard Profit")</f>
        <v>High Profit</v>
      </c>
      <c r="J64" s="13" t="str">
        <f>_xlfn.XLOOKUP(Orders[[#This Row],[OrderID]],SalesData[OrderID],SalesData[Region],"Not Found")</f>
        <v>South</v>
      </c>
      <c r="K64" s="13">
        <f>SUMIF(SalesData[OrderID],Orders[[#This Row],[OrderID]],SalesData[Quantity])</f>
        <v>14</v>
      </c>
      <c r="L64" s="13" t="str">
        <f>_xlfn.XLOOKUP(Orders[[#This Row],[OrderID]],SalesData[OrderID],SalesData[Category],"Not Found")</f>
        <v>Networking</v>
      </c>
      <c r="M64" s="16">
        <f>_xlfn.XLOOKUP(Orders[[#This Row],[Category]],ProductMaster[Category],ProductMaster[UnitCost],"Not Found")</f>
        <v>3400</v>
      </c>
    </row>
    <row r="65" spans="1:13" x14ac:dyDescent="0.35">
      <c r="A65">
        <v>1027</v>
      </c>
      <c r="B65">
        <v>27</v>
      </c>
      <c r="C65">
        <v>46265</v>
      </c>
      <c r="D65" s="1" t="s">
        <v>9</v>
      </c>
      <c r="E65" s="10">
        <f>SUMIF(SalesData[OrderID],Orders[[#This Row],[OrderID]],SalesData[Revenue])</f>
        <v>172425</v>
      </c>
      <c r="F65" s="10">
        <f>SUMIF(SalesData[OrderID],Orders[[#This Row],[OrderID]],SalesData[TotalCost])</f>
        <v>129800</v>
      </c>
      <c r="G65" s="11">
        <f>SUMIF(SalesData[OrderID],Orders[[#This Row],[OrderID]],SalesData[Profit])</f>
        <v>42625</v>
      </c>
      <c r="H65" s="12">
        <f>AVERAGEIF(SalesData[OrderID],Orders[[#This Row],[OrderID]],SalesData[ProfitMargin])</f>
        <v>0.24574898785425098</v>
      </c>
      <c r="I65" s="13" t="str">
        <f>IF(Orders[[#This Row],[Profit]]&gt;10000,"High Profit","Standard Profit")</f>
        <v>High Profit</v>
      </c>
      <c r="J65" s="13" t="str">
        <f>_xlfn.XLOOKUP(Orders[[#This Row],[OrderID]],SalesData[OrderID],SalesData[Region],"Not Found")</f>
        <v>North</v>
      </c>
      <c r="K65" s="13">
        <f>SUMIF(SalesData[OrderID],Orders[[#This Row],[OrderID]],SalesData[Quantity])</f>
        <v>22</v>
      </c>
      <c r="L65" s="13" t="str">
        <f>_xlfn.XLOOKUP(Orders[[#This Row],[OrderID]],SalesData[OrderID],SalesData[Category],"Not Found")</f>
        <v>Networking</v>
      </c>
      <c r="M65" s="16">
        <f>_xlfn.XLOOKUP(Orders[[#This Row],[Category]],ProductMaster[Category],ProductMaster[UnitCost],"Not Found")</f>
        <v>3400</v>
      </c>
    </row>
    <row r="66" spans="1:13" x14ac:dyDescent="0.35">
      <c r="A66">
        <v>1014</v>
      </c>
      <c r="B66">
        <v>11</v>
      </c>
      <c r="C66">
        <v>46266</v>
      </c>
      <c r="D66" s="1" t="s">
        <v>9</v>
      </c>
      <c r="E66" s="10">
        <f>SUMIF(SalesData[OrderID],Orders[[#This Row],[OrderID]],SalesData[Revenue])</f>
        <v>52725</v>
      </c>
      <c r="F66" s="10">
        <f>SUMIF(SalesData[OrderID],Orders[[#This Row],[OrderID]],SalesData[TotalCost])</f>
        <v>42500</v>
      </c>
      <c r="G66" s="11">
        <f>SUMIF(SalesData[OrderID],Orders[[#This Row],[OrderID]],SalesData[Profit])</f>
        <v>10225</v>
      </c>
      <c r="H66" s="12">
        <f>AVERAGEIF(SalesData[OrderID],Orders[[#This Row],[OrderID]],SalesData[ProfitMargin])</f>
        <v>0.26754385964912281</v>
      </c>
      <c r="I66" s="13" t="str">
        <f>IF(Orders[[#This Row],[Profit]]&gt;10000,"High Profit","Standard Profit")</f>
        <v>High Profit</v>
      </c>
      <c r="J66" s="13" t="str">
        <f>_xlfn.XLOOKUP(Orders[[#This Row],[OrderID]],SalesData[OrderID],SalesData[Region],"Not Found")</f>
        <v>West</v>
      </c>
      <c r="K66" s="13">
        <f>SUMIF(SalesData[OrderID],Orders[[#This Row],[OrderID]],SalesData[Quantity])</f>
        <v>9</v>
      </c>
      <c r="L66" s="13" t="str">
        <f>_xlfn.XLOOKUP(Orders[[#This Row],[OrderID]],SalesData[OrderID],SalesData[Category],"Not Found")</f>
        <v>Electronics</v>
      </c>
      <c r="M66" s="16">
        <f>_xlfn.XLOOKUP(Orders[[#This Row],[Category]],ProductMaster[Category],ProductMaster[UnitCost],"Not Found")</f>
        <v>46000</v>
      </c>
    </row>
    <row r="67" spans="1:13" x14ac:dyDescent="0.35">
      <c r="A67">
        <v>1038</v>
      </c>
      <c r="B67">
        <v>14</v>
      </c>
      <c r="C67">
        <v>46269</v>
      </c>
      <c r="D67" s="1" t="s">
        <v>10</v>
      </c>
      <c r="E67" s="10">
        <f>SUMIF(SalesData[OrderID],Orders[[#This Row],[OrderID]],SalesData[Revenue])</f>
        <v>165000</v>
      </c>
      <c r="F67" s="10">
        <f>SUMIF(SalesData[OrderID],Orders[[#This Row],[OrderID]],SalesData[TotalCost])</f>
        <v>138000</v>
      </c>
      <c r="G67" s="11">
        <f>SUMIF(SalesData[OrderID],Orders[[#This Row],[OrderID]],SalesData[Profit])</f>
        <v>27000</v>
      </c>
      <c r="H67" s="12">
        <f>AVERAGEIF(SalesData[OrderID],Orders[[#This Row],[OrderID]],SalesData[ProfitMargin])</f>
        <v>0.16363636363636361</v>
      </c>
      <c r="I67" s="13" t="str">
        <f>IF(Orders[[#This Row],[Profit]]&gt;10000,"High Profit","Standard Profit")</f>
        <v>High Profit</v>
      </c>
      <c r="J67" s="13" t="str">
        <f>_xlfn.XLOOKUP(Orders[[#This Row],[OrderID]],SalesData[OrderID],SalesData[Region],"Not Found")</f>
        <v>West</v>
      </c>
      <c r="K67" s="13">
        <f>SUMIF(SalesData[OrderID],Orders[[#This Row],[OrderID]],SalesData[Quantity])</f>
        <v>3</v>
      </c>
      <c r="L67" s="13" t="str">
        <f>_xlfn.XLOOKUP(Orders[[#This Row],[OrderID]],SalesData[OrderID],SalesData[Category],"Not Found")</f>
        <v>Electronics</v>
      </c>
      <c r="M67" s="16">
        <f>_xlfn.XLOOKUP(Orders[[#This Row],[Category]],ProductMaster[Category],ProductMaster[UnitCost],"Not Found")</f>
        <v>46000</v>
      </c>
    </row>
    <row r="68" spans="1:13" x14ac:dyDescent="0.35">
      <c r="A68">
        <v>1012</v>
      </c>
      <c r="B68">
        <v>5</v>
      </c>
      <c r="C68">
        <v>46271</v>
      </c>
      <c r="D68" s="1" t="s">
        <v>11</v>
      </c>
      <c r="E68" s="10">
        <f>SUMIF(SalesData[OrderID],Orders[[#This Row],[OrderID]],SalesData[Revenue])</f>
        <v>106160</v>
      </c>
      <c r="F68" s="10">
        <f>SUMIF(SalesData[OrderID],Orders[[#This Row],[OrderID]],SalesData[TotalCost])</f>
        <v>74000</v>
      </c>
      <c r="G68" s="11">
        <f>SUMIF(SalesData[OrderID],Orders[[#This Row],[OrderID]],SalesData[Profit])</f>
        <v>32160</v>
      </c>
      <c r="H68" s="12">
        <f>AVERAGEIF(SalesData[OrderID],Orders[[#This Row],[OrderID]],SalesData[ProfitMargin])</f>
        <v>0.31088664421997758</v>
      </c>
      <c r="I68" s="13" t="str">
        <f>IF(Orders[[#This Row],[Profit]]&gt;10000,"High Profit","Standard Profit")</f>
        <v>High Profit</v>
      </c>
      <c r="J68" s="13" t="str">
        <f>_xlfn.XLOOKUP(Orders[[#This Row],[OrderID]],SalesData[OrderID],SalesData[Region],"Not Found")</f>
        <v>North</v>
      </c>
      <c r="K68" s="13">
        <f>SUMIF(SalesData[OrderID],Orders[[#This Row],[OrderID]],SalesData[Quantity])</f>
        <v>28</v>
      </c>
      <c r="L68" s="13" t="str">
        <f>_xlfn.XLOOKUP(Orders[[#This Row],[OrderID]],SalesData[OrderID],SalesData[Category],"Not Found")</f>
        <v>Networking</v>
      </c>
      <c r="M68" s="16">
        <f>_xlfn.XLOOKUP(Orders[[#This Row],[Category]],ProductMaster[Category],ProductMaster[UnitCost],"Not Found")</f>
        <v>3400</v>
      </c>
    </row>
    <row r="69" spans="1:13" x14ac:dyDescent="0.35">
      <c r="A69">
        <v>1046</v>
      </c>
      <c r="B69">
        <v>34</v>
      </c>
      <c r="C69">
        <v>46280</v>
      </c>
      <c r="D69" s="1" t="s">
        <v>9</v>
      </c>
      <c r="E69" s="10">
        <f>SUMIF(SalesData[OrderID],Orders[[#This Row],[OrderID]],SalesData[Revenue])</f>
        <v>25000</v>
      </c>
      <c r="F69" s="10">
        <f>SUMIF(SalesData[OrderID],Orders[[#This Row],[OrderID]],SalesData[TotalCost])</f>
        <v>16600</v>
      </c>
      <c r="G69" s="11">
        <f>SUMIF(SalesData[OrderID],Orders[[#This Row],[OrderID]],SalesData[Profit])</f>
        <v>8400</v>
      </c>
      <c r="H69" s="12">
        <f>AVERAGEIF(SalesData[OrderID],Orders[[#This Row],[OrderID]],SalesData[ProfitMargin])</f>
        <v>0.33846153846153848</v>
      </c>
      <c r="I69" s="13" t="str">
        <f>IF(Orders[[#This Row],[Profit]]&gt;10000,"High Profit","Standard Profit")</f>
        <v>Standard Profit</v>
      </c>
      <c r="J69" s="13" t="str">
        <f>_xlfn.XLOOKUP(Orders[[#This Row],[OrderID]],SalesData[OrderID],SalesData[Region],"Not Found")</f>
        <v>Central</v>
      </c>
      <c r="K69" s="13">
        <f>SUMIF(SalesData[OrderID],Orders[[#This Row],[OrderID]],SalesData[Quantity])</f>
        <v>10</v>
      </c>
      <c r="L69" s="13" t="str">
        <f>_xlfn.XLOOKUP(Orders[[#This Row],[OrderID]],SalesData[OrderID],SalesData[Category],"Not Found")</f>
        <v>Accessories</v>
      </c>
      <c r="M69" s="16">
        <f>_xlfn.XLOOKUP(Orders[[#This Row],[Category]],ProductMaster[Category],ProductMaster[UnitCost],"Not Found")</f>
        <v>400</v>
      </c>
    </row>
    <row r="70" spans="1:13" x14ac:dyDescent="0.35">
      <c r="A70">
        <v>1004</v>
      </c>
      <c r="B70">
        <v>7</v>
      </c>
      <c r="C70">
        <v>46282</v>
      </c>
      <c r="D70" s="1" t="s">
        <v>10</v>
      </c>
      <c r="E70" s="10">
        <f>SUMIF(SalesData[OrderID],Orders[[#This Row],[OrderID]],SalesData[Revenue])</f>
        <v>74400</v>
      </c>
      <c r="F70" s="10">
        <f>SUMIF(SalesData[OrderID],Orders[[#This Row],[OrderID]],SalesData[TotalCost])</f>
        <v>51600</v>
      </c>
      <c r="G70" s="11">
        <f>SUMIF(SalesData[OrderID],Orders[[#This Row],[OrderID]],SalesData[Profit])</f>
        <v>22800</v>
      </c>
      <c r="H70" s="12">
        <f>AVERAGEIF(SalesData[OrderID],Orders[[#This Row],[OrderID]],SalesData[ProfitMargin])</f>
        <v>0.30645161290322581</v>
      </c>
      <c r="I70" s="13" t="str">
        <f>IF(Orders[[#This Row],[Profit]]&gt;10000,"High Profit","Standard Profit")</f>
        <v>High Profit</v>
      </c>
      <c r="J70" s="13" t="str">
        <f>_xlfn.XLOOKUP(Orders[[#This Row],[OrderID]],SalesData[OrderID],SalesData[Region],"Not Found")</f>
        <v>North</v>
      </c>
      <c r="K70" s="13">
        <f>SUMIF(SalesData[OrderID],Orders[[#This Row],[OrderID]],SalesData[Quantity])</f>
        <v>12</v>
      </c>
      <c r="L70" s="13" t="str">
        <f>_xlfn.XLOOKUP(Orders[[#This Row],[OrderID]],SalesData[OrderID],SalesData[Category],"Not Found")</f>
        <v>Furniture</v>
      </c>
      <c r="M70" s="16">
        <f>_xlfn.XLOOKUP(Orders[[#This Row],[Category]],ProductMaster[Category],ProductMaster[UnitCost],"Not Found")</f>
        <v>3000</v>
      </c>
    </row>
    <row r="71" spans="1:13" x14ac:dyDescent="0.35">
      <c r="A71">
        <v>1047</v>
      </c>
      <c r="B71">
        <v>6</v>
      </c>
      <c r="C71">
        <v>46283</v>
      </c>
      <c r="D71" s="1" t="s">
        <v>10</v>
      </c>
      <c r="E71" s="10">
        <f>SUMIF(SalesData[OrderID],Orders[[#This Row],[OrderID]],SalesData[Revenue])</f>
        <v>645000</v>
      </c>
      <c r="F71" s="10">
        <f>SUMIF(SalesData[OrderID],Orders[[#This Row],[OrderID]],SalesData[TotalCost])</f>
        <v>576500</v>
      </c>
      <c r="G71" s="11">
        <f>SUMIF(SalesData[OrderID],Orders[[#This Row],[OrderID]],SalesData[Profit])</f>
        <v>68500</v>
      </c>
      <c r="H71" s="12">
        <f>AVERAGEIF(SalesData[OrderID],Orders[[#This Row],[OrderID]],SalesData[ProfitMargin])</f>
        <v>0.20412457912457913</v>
      </c>
      <c r="I71" s="13" t="str">
        <f>IF(Orders[[#This Row],[Profit]]&gt;10000,"High Profit","Standard Profit")</f>
        <v>High Profit</v>
      </c>
      <c r="J71" s="13" t="str">
        <f>_xlfn.XLOOKUP(Orders[[#This Row],[OrderID]],SalesData[OrderID],SalesData[Region],"Not Found")</f>
        <v>Central</v>
      </c>
      <c r="K71" s="13">
        <f>SUMIF(SalesData[OrderID],Orders[[#This Row],[OrderID]],SalesData[Quantity])</f>
        <v>25</v>
      </c>
      <c r="L71" s="13" t="str">
        <f>_xlfn.XLOOKUP(Orders[[#This Row],[OrderID]],SalesData[OrderID],SalesData[Category],"Not Found")</f>
        <v>Furniture</v>
      </c>
      <c r="M71" s="16">
        <f>_xlfn.XLOOKUP(Orders[[#This Row],[Category]],ProductMaster[Category],ProductMaster[UnitCost],"Not Found")</f>
        <v>3000</v>
      </c>
    </row>
    <row r="72" spans="1:13" x14ac:dyDescent="0.35">
      <c r="A72">
        <v>1090</v>
      </c>
      <c r="B72">
        <v>26</v>
      </c>
      <c r="C72">
        <v>46283</v>
      </c>
      <c r="D72" s="1" t="s">
        <v>8</v>
      </c>
      <c r="E72" s="10">
        <f>SUMIF(SalesData[OrderID],Orders[[#This Row],[OrderID]],SalesData[Revenue])</f>
        <v>630000</v>
      </c>
      <c r="F72" s="10">
        <f>SUMIF(SalesData[OrderID],Orders[[#This Row],[OrderID]],SalesData[TotalCost])</f>
        <v>518600</v>
      </c>
      <c r="G72" s="11">
        <f>SUMIF(SalesData[OrderID],Orders[[#This Row],[OrderID]],SalesData[Profit])</f>
        <v>111400</v>
      </c>
      <c r="H72" s="12">
        <f>AVERAGEIF(SalesData[OrderID],Orders[[#This Row],[OrderID]],SalesData[ProfitMargin])</f>
        <v>0.18943824206982099</v>
      </c>
      <c r="I72" s="13" t="str">
        <f>IF(Orders[[#This Row],[Profit]]&gt;10000,"High Profit","Standard Profit")</f>
        <v>High Profit</v>
      </c>
      <c r="J72" s="13" t="str">
        <f>_xlfn.XLOOKUP(Orders[[#This Row],[OrderID]],SalesData[OrderID],SalesData[Region],"Not Found")</f>
        <v>North</v>
      </c>
      <c r="K72" s="13">
        <f>SUMIF(SalesData[OrderID],Orders[[#This Row],[OrderID]],SalesData[Quantity])</f>
        <v>24</v>
      </c>
      <c r="L72" s="13" t="str">
        <f>_xlfn.XLOOKUP(Orders[[#This Row],[OrderID]],SalesData[OrderID],SalesData[Category],"Not Found")</f>
        <v>Electronics</v>
      </c>
      <c r="M72" s="16">
        <f>_xlfn.XLOOKUP(Orders[[#This Row],[Category]],ProductMaster[Category],ProductMaster[UnitCost],"Not Found")</f>
        <v>46000</v>
      </c>
    </row>
    <row r="73" spans="1:13" x14ac:dyDescent="0.35">
      <c r="A73">
        <v>1096</v>
      </c>
      <c r="B73">
        <v>8</v>
      </c>
      <c r="C73">
        <v>46284</v>
      </c>
      <c r="D73" s="1" t="s">
        <v>9</v>
      </c>
      <c r="E73" s="10">
        <f>SUMIF(SalesData[OrderID],Orders[[#This Row],[OrderID]],SalesData[Revenue])</f>
        <v>35800</v>
      </c>
      <c r="F73" s="10">
        <f>SUMIF(SalesData[OrderID],Orders[[#This Row],[OrderID]],SalesData[TotalCost])</f>
        <v>23600</v>
      </c>
      <c r="G73" s="11">
        <f>SUMIF(SalesData[OrderID],Orders[[#This Row],[OrderID]],SalesData[Profit])</f>
        <v>12200</v>
      </c>
      <c r="H73" s="12">
        <f>AVERAGEIF(SalesData[OrderID],Orders[[#This Row],[OrderID]],SalesData[ProfitMargin])</f>
        <v>0.35959101382488479</v>
      </c>
      <c r="I73" s="13" t="str">
        <f>IF(Orders[[#This Row],[Profit]]&gt;10000,"High Profit","Standard Profit")</f>
        <v>High Profit</v>
      </c>
      <c r="J73" s="13" t="str">
        <f>_xlfn.XLOOKUP(Orders[[#This Row],[OrderID]],SalesData[OrderID],SalesData[Region],"Not Found")</f>
        <v>West</v>
      </c>
      <c r="K73" s="13">
        <f>SUMIF(SalesData[OrderID],Orders[[#This Row],[OrderID]],SalesData[Quantity])</f>
        <v>14</v>
      </c>
      <c r="L73" s="13" t="str">
        <f>_xlfn.XLOOKUP(Orders[[#This Row],[OrderID]],SalesData[OrderID],SalesData[Category],"Not Found")</f>
        <v>Furniture</v>
      </c>
      <c r="M73" s="16">
        <f>_xlfn.XLOOKUP(Orders[[#This Row],[Category]],ProductMaster[Category],ProductMaster[UnitCost],"Not Found")</f>
        <v>3000</v>
      </c>
    </row>
    <row r="74" spans="1:13" x14ac:dyDescent="0.35">
      <c r="A74">
        <v>1018</v>
      </c>
      <c r="B74">
        <v>29</v>
      </c>
      <c r="C74">
        <v>46287</v>
      </c>
      <c r="D74" s="1" t="s">
        <v>9</v>
      </c>
      <c r="E74" s="10">
        <f>SUMIF(SalesData[OrderID],Orders[[#This Row],[OrderID]],SalesData[Revenue])</f>
        <v>242850</v>
      </c>
      <c r="F74" s="10">
        <f>SUMIF(SalesData[OrderID],Orders[[#This Row],[OrderID]],SalesData[TotalCost])</f>
        <v>194800</v>
      </c>
      <c r="G74" s="11">
        <f>SUMIF(SalesData[OrderID],Orders[[#This Row],[OrderID]],SalesData[Profit])</f>
        <v>48050</v>
      </c>
      <c r="H74" s="12">
        <f>AVERAGEIF(SalesData[OrderID],Orders[[#This Row],[OrderID]],SalesData[ProfitMargin])</f>
        <v>0.19744008714596947</v>
      </c>
      <c r="I74" s="13" t="str">
        <f>IF(Orders[[#This Row],[Profit]]&gt;10000,"High Profit","Standard Profit")</f>
        <v>High Profit</v>
      </c>
      <c r="J74" s="13" t="str">
        <f>_xlfn.XLOOKUP(Orders[[#This Row],[OrderID]],SalesData[OrderID],SalesData[Region],"Not Found")</f>
        <v>Central</v>
      </c>
      <c r="K74" s="13">
        <f>SUMIF(SalesData[OrderID],Orders[[#This Row],[OrderID]],SalesData[Quantity])</f>
        <v>21</v>
      </c>
      <c r="L74" s="13" t="str">
        <f>_xlfn.XLOOKUP(Orders[[#This Row],[OrderID]],SalesData[OrderID],SalesData[Category],"Not Found")</f>
        <v>Electronics</v>
      </c>
      <c r="M74" s="16">
        <f>_xlfn.XLOOKUP(Orders[[#This Row],[Category]],ProductMaster[Category],ProductMaster[UnitCost],"Not Found")</f>
        <v>46000</v>
      </c>
    </row>
    <row r="75" spans="1:13" x14ac:dyDescent="0.35">
      <c r="A75">
        <v>1013</v>
      </c>
      <c r="B75">
        <v>9</v>
      </c>
      <c r="C75">
        <v>46295</v>
      </c>
      <c r="D75" s="1" t="s">
        <v>9</v>
      </c>
      <c r="E75" s="10">
        <f>SUMIF(SalesData[OrderID],Orders[[#This Row],[OrderID]],SalesData[Revenue])</f>
        <v>77000</v>
      </c>
      <c r="F75" s="10">
        <f>SUMIF(SalesData[OrderID],Orders[[#This Row],[OrderID]],SalesData[TotalCost])</f>
        <v>59900</v>
      </c>
      <c r="G75" s="11">
        <f>SUMIF(SalesData[OrderID],Orders[[#This Row],[OrderID]],SalesData[Profit])</f>
        <v>17100</v>
      </c>
      <c r="H75" s="12">
        <f>AVERAGEIF(SalesData[OrderID],Orders[[#This Row],[OrderID]],SalesData[ProfitMargin])</f>
        <v>0.23946078431372542</v>
      </c>
      <c r="I75" s="13" t="str">
        <f>IF(Orders[[#This Row],[Profit]]&gt;10000,"High Profit","Standard Profit")</f>
        <v>High Profit</v>
      </c>
      <c r="J75" s="13" t="str">
        <f>_xlfn.XLOOKUP(Orders[[#This Row],[OrderID]],SalesData[OrderID],SalesData[Region],"Not Found")</f>
        <v>South</v>
      </c>
      <c r="K75" s="13">
        <f>SUMIF(SalesData[OrderID],Orders[[#This Row],[OrderID]],SalesData[Quantity])</f>
        <v>7</v>
      </c>
      <c r="L75" s="13" t="str">
        <f>_xlfn.XLOOKUP(Orders[[#This Row],[OrderID]],SalesData[OrderID],SalesData[Category],"Not Found")</f>
        <v>Electronics</v>
      </c>
      <c r="M75" s="16">
        <f>_xlfn.XLOOKUP(Orders[[#This Row],[Category]],ProductMaster[Category],ProductMaster[UnitCost],"Not Found")</f>
        <v>46000</v>
      </c>
    </row>
    <row r="76" spans="1:13" x14ac:dyDescent="0.35">
      <c r="A76">
        <v>1091</v>
      </c>
      <c r="B76">
        <v>22</v>
      </c>
      <c r="C76">
        <v>46297</v>
      </c>
      <c r="D76" s="1" t="s">
        <v>11</v>
      </c>
      <c r="E76" s="10">
        <f>SUMIF(SalesData[OrderID],Orders[[#This Row],[OrderID]],SalesData[Revenue])</f>
        <v>417800</v>
      </c>
      <c r="F76" s="10">
        <f>SUMIF(SalesData[OrderID],Orders[[#This Row],[OrderID]],SalesData[TotalCost])</f>
        <v>372700</v>
      </c>
      <c r="G76" s="11">
        <f>SUMIF(SalesData[OrderID],Orders[[#This Row],[OrderID]],SalesData[Profit])</f>
        <v>45100</v>
      </c>
      <c r="H76" s="12">
        <f>AVERAGEIF(SalesData[OrderID],Orders[[#This Row],[OrderID]],SalesData[ProfitMargin])</f>
        <v>0.23046004921004917</v>
      </c>
      <c r="I76" s="13" t="str">
        <f>IF(Orders[[#This Row],[Profit]]&gt;10000,"High Profit","Standard Profit")</f>
        <v>High Profit</v>
      </c>
      <c r="J76" s="13" t="str">
        <f>_xlfn.XLOOKUP(Orders[[#This Row],[OrderID]],SalesData[OrderID],SalesData[Region],"Not Found")</f>
        <v>East</v>
      </c>
      <c r="K76" s="13">
        <f>SUMIF(SalesData[OrderID],Orders[[#This Row],[OrderID]],SalesData[Quantity])</f>
        <v>20</v>
      </c>
      <c r="L76" s="13" t="str">
        <f>_xlfn.XLOOKUP(Orders[[#This Row],[OrderID]],SalesData[OrderID],SalesData[Category],"Not Found")</f>
        <v>Storage</v>
      </c>
      <c r="M76" s="16">
        <f>_xlfn.XLOOKUP(Orders[[#This Row],[Category]],ProductMaster[Category],ProductMaster[UnitCost],"Not Found")</f>
        <v>4700</v>
      </c>
    </row>
    <row r="77" spans="1:13" x14ac:dyDescent="0.35">
      <c r="A77">
        <v>1099</v>
      </c>
      <c r="B77">
        <v>13</v>
      </c>
      <c r="C77">
        <v>46298</v>
      </c>
      <c r="D77" s="1" t="s">
        <v>9</v>
      </c>
      <c r="E77" s="10">
        <f>SUMIF(SalesData[OrderID],Orders[[#This Row],[OrderID]],SalesData[Revenue])</f>
        <v>26625</v>
      </c>
      <c r="F77" s="10">
        <f>SUMIF(SalesData[OrderID],Orders[[#This Row],[OrderID]],SalesData[TotalCost])</f>
        <v>17900</v>
      </c>
      <c r="G77" s="11">
        <f>SUMIF(SalesData[OrderID],Orders[[#This Row],[OrderID]],SalesData[Profit])</f>
        <v>8725</v>
      </c>
      <c r="H77" s="12">
        <f>AVERAGEIF(SalesData[OrderID],Orders[[#This Row],[OrderID]],SalesData[ProfitMargin])</f>
        <v>0.29983001762780154</v>
      </c>
      <c r="I77" s="13" t="str">
        <f>IF(Orders[[#This Row],[Profit]]&gt;10000,"High Profit","Standard Profit")</f>
        <v>Standard Profit</v>
      </c>
      <c r="J77" s="13" t="str">
        <f>_xlfn.XLOOKUP(Orders[[#This Row],[OrderID]],SalesData[OrderID],SalesData[Region],"Not Found")</f>
        <v>East</v>
      </c>
      <c r="K77" s="13">
        <f>SUMIF(SalesData[OrderID],Orders[[#This Row],[OrderID]],SalesData[Quantity])</f>
        <v>9</v>
      </c>
      <c r="L77" s="13" t="str">
        <f>_xlfn.XLOOKUP(Orders[[#This Row],[OrderID]],SalesData[OrderID],SalesData[Category],"Not Found")</f>
        <v>Accessories</v>
      </c>
      <c r="M77" s="16">
        <f>_xlfn.XLOOKUP(Orders[[#This Row],[Category]],ProductMaster[Category],ProductMaster[UnitCost],"Not Found")</f>
        <v>400</v>
      </c>
    </row>
    <row r="78" spans="1:13" x14ac:dyDescent="0.35">
      <c r="A78">
        <v>1007</v>
      </c>
      <c r="B78">
        <v>34</v>
      </c>
      <c r="C78">
        <v>46299</v>
      </c>
      <c r="D78" s="1" t="s">
        <v>10</v>
      </c>
      <c r="E78" s="10">
        <f>SUMIF(SalesData[OrderID],Orders[[#This Row],[OrderID]],SalesData[Revenue])</f>
        <v>223500</v>
      </c>
      <c r="F78" s="10">
        <f>SUMIF(SalesData[OrderID],Orders[[#This Row],[OrderID]],SalesData[TotalCost])</f>
        <v>178500</v>
      </c>
      <c r="G78" s="11">
        <f>SUMIF(SalesData[OrderID],Orders[[#This Row],[OrderID]],SalesData[Profit])</f>
        <v>45000</v>
      </c>
      <c r="H78" s="12">
        <f>AVERAGEIF(SalesData[OrderID],Orders[[#This Row],[OrderID]],SalesData[ProfitMargin])</f>
        <v>0.29722222222222222</v>
      </c>
      <c r="I78" s="13" t="str">
        <f>IF(Orders[[#This Row],[Profit]]&gt;10000,"High Profit","Standard Profit")</f>
        <v>High Profit</v>
      </c>
      <c r="J78" s="13" t="str">
        <f>_xlfn.XLOOKUP(Orders[[#This Row],[OrderID]],SalesData[OrderID],SalesData[Region],"Not Found")</f>
        <v>Central</v>
      </c>
      <c r="K78" s="13">
        <f>SUMIF(SalesData[OrderID],Orders[[#This Row],[OrderID]],SalesData[Quantity])</f>
        <v>17</v>
      </c>
      <c r="L78" s="13" t="str">
        <f>_xlfn.XLOOKUP(Orders[[#This Row],[OrderID]],SalesData[OrderID],SalesData[Category],"Not Found")</f>
        <v>Accessories</v>
      </c>
      <c r="M78" s="16">
        <f>_xlfn.XLOOKUP(Orders[[#This Row],[Category]],ProductMaster[Category],ProductMaster[UnitCost],"Not Found")</f>
        <v>400</v>
      </c>
    </row>
    <row r="79" spans="1:13" x14ac:dyDescent="0.35">
      <c r="A79">
        <v>1016</v>
      </c>
      <c r="B79">
        <v>13</v>
      </c>
      <c r="C79">
        <v>46299</v>
      </c>
      <c r="D79" s="1" t="s">
        <v>8</v>
      </c>
      <c r="E79" s="10">
        <f>SUMIF(SalesData[OrderID],Orders[[#This Row],[OrderID]],SalesData[Revenue])</f>
        <v>605000</v>
      </c>
      <c r="F79" s="10">
        <f>SUMIF(SalesData[OrderID],Orders[[#This Row],[OrderID]],SalesData[TotalCost])</f>
        <v>506000</v>
      </c>
      <c r="G79" s="11">
        <f>SUMIF(SalesData[OrderID],Orders[[#This Row],[OrderID]],SalesData[Profit])</f>
        <v>99000</v>
      </c>
      <c r="H79" s="12">
        <f>AVERAGEIF(SalesData[OrderID],Orders[[#This Row],[OrderID]],SalesData[ProfitMargin])</f>
        <v>0.16363636363636361</v>
      </c>
      <c r="I79" s="13" t="str">
        <f>IF(Orders[[#This Row],[Profit]]&gt;10000,"High Profit","Standard Profit")</f>
        <v>High Profit</v>
      </c>
      <c r="J79" s="13" t="str">
        <f>_xlfn.XLOOKUP(Orders[[#This Row],[OrderID]],SalesData[OrderID],SalesData[Region],"Not Found")</f>
        <v>East</v>
      </c>
      <c r="K79" s="13">
        <f>SUMIF(SalesData[OrderID],Orders[[#This Row],[OrderID]],SalesData[Quantity])</f>
        <v>11</v>
      </c>
      <c r="L79" s="13" t="str">
        <f>_xlfn.XLOOKUP(Orders[[#This Row],[OrderID]],SalesData[OrderID],SalesData[Category],"Not Found")</f>
        <v>Electronics</v>
      </c>
      <c r="M79" s="16">
        <f>_xlfn.XLOOKUP(Orders[[#This Row],[Category]],ProductMaster[Category],ProductMaster[UnitCost],"Not Found")</f>
        <v>46000</v>
      </c>
    </row>
    <row r="80" spans="1:13" x14ac:dyDescent="0.35">
      <c r="A80">
        <v>1036</v>
      </c>
      <c r="B80">
        <v>1</v>
      </c>
      <c r="C80">
        <v>46299</v>
      </c>
      <c r="D80" s="1" t="s">
        <v>11</v>
      </c>
      <c r="E80" s="10">
        <f>SUMIF(SalesData[OrderID],Orders[[#This Row],[OrderID]],SalesData[Revenue])</f>
        <v>14400</v>
      </c>
      <c r="F80" s="10">
        <f>SUMIF(SalesData[OrderID],Orders[[#This Row],[OrderID]],SalesData[TotalCost])</f>
        <v>10200</v>
      </c>
      <c r="G80" s="11">
        <f>SUMIF(SalesData[OrderID],Orders[[#This Row],[OrderID]],SalesData[Profit])</f>
        <v>4200</v>
      </c>
      <c r="H80" s="12">
        <f>AVERAGEIF(SalesData[OrderID],Orders[[#This Row],[OrderID]],SalesData[ProfitMargin])</f>
        <v>0.29166666666666669</v>
      </c>
      <c r="I80" s="13" t="str">
        <f>IF(Orders[[#This Row],[Profit]]&gt;10000,"High Profit","Standard Profit")</f>
        <v>Standard Profit</v>
      </c>
      <c r="J80" s="13" t="str">
        <f>_xlfn.XLOOKUP(Orders[[#This Row],[OrderID]],SalesData[OrderID],SalesData[Region],"Not Found")</f>
        <v>West</v>
      </c>
      <c r="K80" s="13">
        <f>SUMIF(SalesData[OrderID],Orders[[#This Row],[OrderID]],SalesData[Quantity])</f>
        <v>3</v>
      </c>
      <c r="L80" s="13" t="str">
        <f>_xlfn.XLOOKUP(Orders[[#This Row],[OrderID]],SalesData[OrderID],SalesData[Category],"Not Found")</f>
        <v>Networking</v>
      </c>
      <c r="M80" s="16">
        <f>_xlfn.XLOOKUP(Orders[[#This Row],[Category]],ProductMaster[Category],ProductMaster[UnitCost],"Not Found")</f>
        <v>3400</v>
      </c>
    </row>
    <row r="81" spans="1:13" x14ac:dyDescent="0.35">
      <c r="A81">
        <v>1061</v>
      </c>
      <c r="B81">
        <v>20</v>
      </c>
      <c r="C81">
        <v>46301</v>
      </c>
      <c r="D81" s="1" t="s">
        <v>9</v>
      </c>
      <c r="E81" s="10">
        <f>SUMIF(SalesData[OrderID],Orders[[#This Row],[OrderID]],SalesData[Revenue])</f>
        <v>119280</v>
      </c>
      <c r="F81" s="10">
        <f>SUMIF(SalesData[OrderID],Orders[[#This Row],[OrderID]],SalesData[TotalCost])</f>
        <v>102400</v>
      </c>
      <c r="G81" s="11">
        <f>SUMIF(SalesData[OrderID],Orders[[#This Row],[OrderID]],SalesData[Profit])</f>
        <v>16880</v>
      </c>
      <c r="H81" s="12">
        <f>AVERAGEIF(SalesData[OrderID],Orders[[#This Row],[OrderID]],SalesData[ProfitMargin])</f>
        <v>0.26318876369810157</v>
      </c>
      <c r="I81" s="13" t="str">
        <f>IF(Orders[[#This Row],[Profit]]&gt;10000,"High Profit","Standard Profit")</f>
        <v>High Profit</v>
      </c>
      <c r="J81" s="13" t="str">
        <f>_xlfn.XLOOKUP(Orders[[#This Row],[OrderID]],SalesData[OrderID],SalesData[Region],"Not Found")</f>
        <v>South</v>
      </c>
      <c r="K81" s="13">
        <f>SUMIF(SalesData[OrderID],Orders[[#This Row],[OrderID]],SalesData[Quantity])</f>
        <v>6</v>
      </c>
      <c r="L81" s="13" t="str">
        <f>_xlfn.XLOOKUP(Orders[[#This Row],[OrderID]],SalesData[OrderID],SalesData[Category],"Not Found")</f>
        <v>Electronics</v>
      </c>
      <c r="M81" s="16">
        <f>_xlfn.XLOOKUP(Orders[[#This Row],[Category]],ProductMaster[Category],ProductMaster[UnitCost],"Not Found")</f>
        <v>46000</v>
      </c>
    </row>
    <row r="82" spans="1:13" x14ac:dyDescent="0.35">
      <c r="A82">
        <v>1035</v>
      </c>
      <c r="B82">
        <v>7</v>
      </c>
      <c r="C82">
        <v>46304</v>
      </c>
      <c r="D82" s="1" t="s">
        <v>9</v>
      </c>
      <c r="E82" s="10">
        <f>SUMIF(SalesData[OrderID],Orders[[#This Row],[OrderID]],SalesData[Revenue])</f>
        <v>74700</v>
      </c>
      <c r="F82" s="10">
        <f>SUMIF(SalesData[OrderID],Orders[[#This Row],[OrderID]],SalesData[TotalCost])</f>
        <v>51600</v>
      </c>
      <c r="G82" s="11">
        <f>SUMIF(SalesData[OrderID],Orders[[#This Row],[OrderID]],SalesData[Profit])</f>
        <v>23100</v>
      </c>
      <c r="H82" s="12">
        <f>AVERAGEIF(SalesData[OrderID],Orders[[#This Row],[OrderID]],SalesData[ProfitMargin])</f>
        <v>0.3125</v>
      </c>
      <c r="I82" s="13" t="str">
        <f>IF(Orders[[#This Row],[Profit]]&gt;10000,"High Profit","Standard Profit")</f>
        <v>High Profit</v>
      </c>
      <c r="J82" s="13" t="str">
        <f>_xlfn.XLOOKUP(Orders[[#This Row],[OrderID]],SalesData[OrderID],SalesData[Region],"Not Found")</f>
        <v>North</v>
      </c>
      <c r="K82" s="13">
        <f>SUMIF(SalesData[OrderID],Orders[[#This Row],[OrderID]],SalesData[Quantity])</f>
        <v>16</v>
      </c>
      <c r="L82" s="13" t="str">
        <f>_xlfn.XLOOKUP(Orders[[#This Row],[OrderID]],SalesData[OrderID],SalesData[Category],"Not Found")</f>
        <v>Networking</v>
      </c>
      <c r="M82" s="16">
        <f>_xlfn.XLOOKUP(Orders[[#This Row],[Category]],ProductMaster[Category],ProductMaster[UnitCost],"Not Found")</f>
        <v>3400</v>
      </c>
    </row>
    <row r="83" spans="1:13" x14ac:dyDescent="0.35">
      <c r="A83">
        <v>1072</v>
      </c>
      <c r="B83">
        <v>28</v>
      </c>
      <c r="C83">
        <v>46305</v>
      </c>
      <c r="D83" s="1" t="s">
        <v>9</v>
      </c>
      <c r="E83" s="10">
        <f>SUMIF(SalesData[OrderID],Orders[[#This Row],[OrderID]],SalesData[Revenue])</f>
        <v>244055</v>
      </c>
      <c r="F83" s="10">
        <f>SUMIF(SalesData[OrderID],Orders[[#This Row],[OrderID]],SalesData[TotalCost])</f>
        <v>205300</v>
      </c>
      <c r="G83" s="11">
        <f>SUMIF(SalesData[OrderID],Orders[[#This Row],[OrderID]],SalesData[Profit])</f>
        <v>38755</v>
      </c>
      <c r="H83" s="12">
        <f>AVERAGEIF(SalesData[OrderID],Orders[[#This Row],[OrderID]],SalesData[ProfitMargin])</f>
        <v>0.27631578947368418</v>
      </c>
      <c r="I83" s="13" t="str">
        <f>IF(Orders[[#This Row],[Profit]]&gt;10000,"High Profit","Standard Profit")</f>
        <v>High Profit</v>
      </c>
      <c r="J83" s="13" t="str">
        <f>_xlfn.XLOOKUP(Orders[[#This Row],[OrderID]],SalesData[OrderID],SalesData[Region],"Not Found")</f>
        <v>Central</v>
      </c>
      <c r="K83" s="13">
        <f>SUMIF(SalesData[OrderID],Orders[[#This Row],[OrderID]],SalesData[Quantity])</f>
        <v>16</v>
      </c>
      <c r="L83" s="13" t="str">
        <f>_xlfn.XLOOKUP(Orders[[#This Row],[OrderID]],SalesData[OrderID],SalesData[Category],"Not Found")</f>
        <v>Electronics</v>
      </c>
      <c r="M83" s="16">
        <f>_xlfn.XLOOKUP(Orders[[#This Row],[Category]],ProductMaster[Category],ProductMaster[UnitCost],"Not Found")</f>
        <v>46000</v>
      </c>
    </row>
    <row r="84" spans="1:13" x14ac:dyDescent="0.35">
      <c r="A84">
        <v>1063</v>
      </c>
      <c r="B84">
        <v>20</v>
      </c>
      <c r="C84">
        <v>46306</v>
      </c>
      <c r="D84" s="1" t="s">
        <v>11</v>
      </c>
      <c r="E84" s="10">
        <f>SUMIF(SalesData[OrderID],Orders[[#This Row],[OrderID]],SalesData[Revenue])</f>
        <v>198600</v>
      </c>
      <c r="F84" s="10">
        <f>SUMIF(SalesData[OrderID],Orders[[#This Row],[OrderID]],SalesData[TotalCost])</f>
        <v>156100</v>
      </c>
      <c r="G84" s="11">
        <f>SUMIF(SalesData[OrderID],Orders[[#This Row],[OrderID]],SalesData[Profit])</f>
        <v>42500</v>
      </c>
      <c r="H84" s="12">
        <f>AVERAGEIF(SalesData[OrderID],Orders[[#This Row],[OrderID]],SalesData[ProfitMargin])</f>
        <v>0.29537037037037034</v>
      </c>
      <c r="I84" s="13" t="str">
        <f>IF(Orders[[#This Row],[Profit]]&gt;10000,"High Profit","Standard Profit")</f>
        <v>High Profit</v>
      </c>
      <c r="J84" s="13" t="str">
        <f>_xlfn.XLOOKUP(Orders[[#This Row],[OrderID]],SalesData[OrderID],SalesData[Region],"Not Found")</f>
        <v>South</v>
      </c>
      <c r="K84" s="13">
        <f>SUMIF(SalesData[OrderID],Orders[[#This Row],[OrderID]],SalesData[Quantity])</f>
        <v>18</v>
      </c>
      <c r="L84" s="13" t="str">
        <f>_xlfn.XLOOKUP(Orders[[#This Row],[OrderID]],SalesData[OrderID],SalesData[Category],"Not Found")</f>
        <v>Accessories</v>
      </c>
      <c r="M84" s="16">
        <f>_xlfn.XLOOKUP(Orders[[#This Row],[Category]],ProductMaster[Category],ProductMaster[UnitCost],"Not Found")</f>
        <v>400</v>
      </c>
    </row>
    <row r="85" spans="1:13" x14ac:dyDescent="0.35">
      <c r="A85">
        <v>1042</v>
      </c>
      <c r="B85">
        <v>32</v>
      </c>
      <c r="C85">
        <v>46307</v>
      </c>
      <c r="D85" s="1" t="s">
        <v>9</v>
      </c>
      <c r="E85" s="10">
        <f>SUMIF(SalesData[OrderID],Orders[[#This Row],[OrderID]],SalesData[Revenue])</f>
        <v>54000</v>
      </c>
      <c r="F85" s="10">
        <f>SUMIF(SalesData[OrderID],Orders[[#This Row],[OrderID]],SalesData[TotalCost])</f>
        <v>36000</v>
      </c>
      <c r="G85" s="11">
        <f>SUMIF(SalesData[OrderID],Orders[[#This Row],[OrderID]],SalesData[Profit])</f>
        <v>18000</v>
      </c>
      <c r="H85" s="12">
        <f>AVERAGEIF(SalesData[OrderID],Orders[[#This Row],[OrderID]],SalesData[ProfitMargin])</f>
        <v>0.33333333333333331</v>
      </c>
      <c r="I85" s="13" t="str">
        <f>IF(Orders[[#This Row],[Profit]]&gt;10000,"High Profit","Standard Profit")</f>
        <v>High Profit</v>
      </c>
      <c r="J85" s="13" t="str">
        <f>_xlfn.XLOOKUP(Orders[[#This Row],[OrderID]],SalesData[OrderID],SalesData[Region],"Not Found")</f>
        <v>East</v>
      </c>
      <c r="K85" s="13">
        <f>SUMIF(SalesData[OrderID],Orders[[#This Row],[OrderID]],SalesData[Quantity])</f>
        <v>12</v>
      </c>
      <c r="L85" s="13" t="str">
        <f>_xlfn.XLOOKUP(Orders[[#This Row],[OrderID]],SalesData[OrderID],SalesData[Category],"Not Found")</f>
        <v>Furniture</v>
      </c>
      <c r="M85" s="16">
        <f>_xlfn.XLOOKUP(Orders[[#This Row],[Category]],ProductMaster[Category],ProductMaster[UnitCost],"Not Found")</f>
        <v>3000</v>
      </c>
    </row>
    <row r="86" spans="1:13" x14ac:dyDescent="0.35">
      <c r="A86">
        <v>1079</v>
      </c>
      <c r="B86">
        <v>27</v>
      </c>
      <c r="C86">
        <v>46309</v>
      </c>
      <c r="D86" s="1" t="s">
        <v>11</v>
      </c>
      <c r="E86" s="10">
        <f>SUMIF(SalesData[OrderID],Orders[[#This Row],[OrderID]],SalesData[Revenue])</f>
        <v>39600</v>
      </c>
      <c r="F86" s="10">
        <f>SUMIF(SalesData[OrderID],Orders[[#This Row],[OrderID]],SalesData[TotalCost])</f>
        <v>25350</v>
      </c>
      <c r="G86" s="11">
        <f>SUMIF(SalesData[OrderID],Orders[[#This Row],[OrderID]],SalesData[Profit])</f>
        <v>14250</v>
      </c>
      <c r="H86" s="12">
        <f>AVERAGEIF(SalesData[OrderID],Orders[[#This Row],[OrderID]],SalesData[ProfitMargin])</f>
        <v>0.386228354978355</v>
      </c>
      <c r="I86" s="13" t="str">
        <f>IF(Orders[[#This Row],[Profit]]&gt;10000,"High Profit","Standard Profit")</f>
        <v>High Profit</v>
      </c>
      <c r="J86" s="13" t="str">
        <f>_xlfn.XLOOKUP(Orders[[#This Row],[OrderID]],SalesData[OrderID],SalesData[Region],"Not Found")</f>
        <v>North</v>
      </c>
      <c r="K86" s="13">
        <f>SUMIF(SalesData[OrderID],Orders[[#This Row],[OrderID]],SalesData[Quantity])</f>
        <v>18</v>
      </c>
      <c r="L86" s="13" t="str">
        <f>_xlfn.XLOOKUP(Orders[[#This Row],[OrderID]],SalesData[OrderID],SalesData[Category],"Not Found")</f>
        <v>Accessories</v>
      </c>
      <c r="M86" s="16">
        <f>_xlfn.XLOOKUP(Orders[[#This Row],[Category]],ProductMaster[Category],ProductMaster[UnitCost],"Not Found")</f>
        <v>400</v>
      </c>
    </row>
    <row r="87" spans="1:13" x14ac:dyDescent="0.35">
      <c r="A87">
        <v>1057</v>
      </c>
      <c r="B87">
        <v>7</v>
      </c>
      <c r="C87">
        <v>46311</v>
      </c>
      <c r="D87" s="1" t="s">
        <v>9</v>
      </c>
      <c r="E87" s="10">
        <f>SUMIF(SalesData[OrderID],Orders[[#This Row],[OrderID]],SalesData[Revenue])</f>
        <v>143700</v>
      </c>
      <c r="F87" s="10">
        <f>SUMIF(SalesData[OrderID],Orders[[#This Row],[OrderID]],SalesData[TotalCost])</f>
        <v>103400</v>
      </c>
      <c r="G87" s="11">
        <f>SUMIF(SalesData[OrderID],Orders[[#This Row],[OrderID]],SalesData[Profit])</f>
        <v>40300</v>
      </c>
      <c r="H87" s="12">
        <f>AVERAGEIF(SalesData[OrderID],Orders[[#This Row],[OrderID]],SalesData[ProfitMargin])</f>
        <v>0.30916808149405767</v>
      </c>
      <c r="I87" s="13" t="str">
        <f>IF(Orders[[#This Row],[Profit]]&gt;10000,"High Profit","Standard Profit")</f>
        <v>High Profit</v>
      </c>
      <c r="J87" s="13" t="str">
        <f>_xlfn.XLOOKUP(Orders[[#This Row],[OrderID]],SalesData[OrderID],SalesData[Region],"Not Found")</f>
        <v>North</v>
      </c>
      <c r="K87" s="13">
        <f>SUMIF(SalesData[OrderID],Orders[[#This Row],[OrderID]],SalesData[Quantity])</f>
        <v>22</v>
      </c>
      <c r="L87" s="13" t="str">
        <f>_xlfn.XLOOKUP(Orders[[#This Row],[OrderID]],SalesData[OrderID],SalesData[Category],"Not Found")</f>
        <v>Networking</v>
      </c>
      <c r="M87" s="16">
        <f>_xlfn.XLOOKUP(Orders[[#This Row],[Category]],ProductMaster[Category],ProductMaster[UnitCost],"Not Found")</f>
        <v>3400</v>
      </c>
    </row>
    <row r="88" spans="1:13" x14ac:dyDescent="0.35">
      <c r="A88">
        <v>1011</v>
      </c>
      <c r="B88">
        <v>6</v>
      </c>
      <c r="C88">
        <v>46313</v>
      </c>
      <c r="D88" s="1" t="s">
        <v>9</v>
      </c>
      <c r="E88" s="10">
        <f>SUMIF(SalesData[OrderID],Orders[[#This Row],[OrderID]],SalesData[Revenue])</f>
        <v>40950</v>
      </c>
      <c r="F88" s="10">
        <f>SUMIF(SalesData[OrderID],Orders[[#This Row],[OrderID]],SalesData[TotalCost])</f>
        <v>32900</v>
      </c>
      <c r="G88" s="11">
        <f>SUMIF(SalesData[OrderID],Orders[[#This Row],[OrderID]],SalesData[Profit])</f>
        <v>8050</v>
      </c>
      <c r="H88" s="12">
        <f>AVERAGEIF(SalesData[OrderID],Orders[[#This Row],[OrderID]],SalesData[ProfitMargin])</f>
        <v>0.1965811965811966</v>
      </c>
      <c r="I88" s="13" t="str">
        <f>IF(Orders[[#This Row],[Profit]]&gt;10000,"High Profit","Standard Profit")</f>
        <v>Standard Profit</v>
      </c>
      <c r="J88" s="13" t="str">
        <f>_xlfn.XLOOKUP(Orders[[#This Row],[OrderID]],SalesData[OrderID],SalesData[Region],"Not Found")</f>
        <v>Central</v>
      </c>
      <c r="K88" s="13">
        <f>SUMIF(SalesData[OrderID],Orders[[#This Row],[OrderID]],SalesData[Quantity])</f>
        <v>7</v>
      </c>
      <c r="L88" s="13" t="str">
        <f>_xlfn.XLOOKUP(Orders[[#This Row],[OrderID]],SalesData[OrderID],SalesData[Category],"Not Found")</f>
        <v>Storage</v>
      </c>
      <c r="M88" s="16">
        <f>_xlfn.XLOOKUP(Orders[[#This Row],[Category]],ProductMaster[Category],ProductMaster[UnitCost],"Not Found")</f>
        <v>4700</v>
      </c>
    </row>
    <row r="89" spans="1:13" x14ac:dyDescent="0.35">
      <c r="A89">
        <v>1050</v>
      </c>
      <c r="B89">
        <v>16</v>
      </c>
      <c r="C89">
        <v>46314</v>
      </c>
      <c r="D89" s="1" t="s">
        <v>9</v>
      </c>
      <c r="E89" s="10">
        <f>SUMIF(SalesData[OrderID],Orders[[#This Row],[OrderID]],SalesData[Revenue])</f>
        <v>62255</v>
      </c>
      <c r="F89" s="10">
        <f>SUMIF(SalesData[OrderID],Orders[[#This Row],[OrderID]],SalesData[TotalCost])</f>
        <v>43600</v>
      </c>
      <c r="G89" s="11">
        <f>SUMIF(SalesData[OrderID],Orders[[#This Row],[OrderID]],SalesData[Profit])</f>
        <v>18655</v>
      </c>
      <c r="H89" s="12">
        <f>AVERAGEIF(SalesData[OrderID],Orders[[#This Row],[OrderID]],SalesData[ProfitMargin])</f>
        <v>0.34508145363408516</v>
      </c>
      <c r="I89" s="13" t="str">
        <f>IF(Orders[[#This Row],[Profit]]&gt;10000,"High Profit","Standard Profit")</f>
        <v>High Profit</v>
      </c>
      <c r="J89" s="13" t="str">
        <f>_xlfn.XLOOKUP(Orders[[#This Row],[OrderID]],SalesData[OrderID],SalesData[Region],"Not Found")</f>
        <v>West</v>
      </c>
      <c r="K89" s="13">
        <f>SUMIF(SalesData[OrderID],Orders[[#This Row],[OrderID]],SalesData[Quantity])</f>
        <v>19</v>
      </c>
      <c r="L89" s="13" t="str">
        <f>_xlfn.XLOOKUP(Orders[[#This Row],[OrderID]],SalesData[OrderID],SalesData[Category],"Not Found")</f>
        <v>Networking</v>
      </c>
      <c r="M89" s="16">
        <f>_xlfn.XLOOKUP(Orders[[#This Row],[Category]],ProductMaster[Category],ProductMaster[UnitCost],"Not Found")</f>
        <v>3400</v>
      </c>
    </row>
    <row r="90" spans="1:13" x14ac:dyDescent="0.35">
      <c r="A90">
        <v>1026</v>
      </c>
      <c r="B90">
        <v>31</v>
      </c>
      <c r="C90">
        <v>46315</v>
      </c>
      <c r="D90" s="1" t="s">
        <v>9</v>
      </c>
      <c r="E90" s="10">
        <f>SUMIF(SalesData[OrderID],Orders[[#This Row],[OrderID]],SalesData[Revenue])</f>
        <v>592200</v>
      </c>
      <c r="F90" s="10">
        <f>SUMIF(SalesData[OrderID],Orders[[#This Row],[OrderID]],SalesData[TotalCost])</f>
        <v>501000</v>
      </c>
      <c r="G90" s="11">
        <f>SUMIF(SalesData[OrderID],Orders[[#This Row],[OrderID]],SalesData[Profit])</f>
        <v>91200</v>
      </c>
      <c r="H90" s="12">
        <f>AVERAGEIF(SalesData[OrderID],Orders[[#This Row],[OrderID]],SalesData[ProfitMargin])</f>
        <v>0.13428731762065094</v>
      </c>
      <c r="I90" s="13" t="str">
        <f>IF(Orders[[#This Row],[Profit]]&gt;10000,"High Profit","Standard Profit")</f>
        <v>High Profit</v>
      </c>
      <c r="J90" s="13" t="str">
        <f>_xlfn.XLOOKUP(Orders[[#This Row],[OrderID]],SalesData[OrderID],SalesData[Region],"Not Found")</f>
        <v>West</v>
      </c>
      <c r="K90" s="13">
        <f>SUMIF(SalesData[OrderID],Orders[[#This Row],[OrderID]],SalesData[Quantity])</f>
        <v>15</v>
      </c>
      <c r="L90" s="13" t="str">
        <f>_xlfn.XLOOKUP(Orders[[#This Row],[OrderID]],SalesData[OrderID],SalesData[Category],"Not Found")</f>
        <v>Electronics</v>
      </c>
      <c r="M90" s="16">
        <f>_xlfn.XLOOKUP(Orders[[#This Row],[Category]],ProductMaster[Category],ProductMaster[UnitCost],"Not Found")</f>
        <v>46000</v>
      </c>
    </row>
    <row r="91" spans="1:13" x14ac:dyDescent="0.35">
      <c r="A91">
        <v>1097</v>
      </c>
      <c r="B91">
        <v>13</v>
      </c>
      <c r="C91">
        <v>46318</v>
      </c>
      <c r="D91" s="1" t="s">
        <v>9</v>
      </c>
      <c r="E91" s="10">
        <f>SUMIF(SalesData[OrderID],Orders[[#This Row],[OrderID]],SalesData[Revenue])</f>
        <v>103500</v>
      </c>
      <c r="F91" s="10">
        <f>SUMIF(SalesData[OrderID],Orders[[#This Row],[OrderID]],SalesData[TotalCost])</f>
        <v>86800</v>
      </c>
      <c r="G91" s="11">
        <f>SUMIF(SalesData[OrderID],Orders[[#This Row],[OrderID]],SalesData[Profit])</f>
        <v>16700</v>
      </c>
      <c r="H91" s="12">
        <f>AVERAGEIF(SalesData[OrderID],Orders[[#This Row],[OrderID]],SalesData[ProfitMargin])</f>
        <v>0.24439571150097467</v>
      </c>
      <c r="I91" s="13" t="str">
        <f>IF(Orders[[#This Row],[Profit]]&gt;10000,"High Profit","Standard Profit")</f>
        <v>High Profit</v>
      </c>
      <c r="J91" s="13" t="str">
        <f>_xlfn.XLOOKUP(Orders[[#This Row],[OrderID]],SalesData[OrderID],SalesData[Region],"Not Found")</f>
        <v>East</v>
      </c>
      <c r="K91" s="13">
        <f>SUMIF(SalesData[OrderID],Orders[[#This Row],[OrderID]],SalesData[Quantity])</f>
        <v>20</v>
      </c>
      <c r="L91" s="13" t="str">
        <f>_xlfn.XLOOKUP(Orders[[#This Row],[OrderID]],SalesData[OrderID],SalesData[Category],"Not Found")</f>
        <v>Electronics</v>
      </c>
      <c r="M91" s="16">
        <f>_xlfn.XLOOKUP(Orders[[#This Row],[Category]],ProductMaster[Category],ProductMaster[UnitCost],"Not Found")</f>
        <v>46000</v>
      </c>
    </row>
    <row r="92" spans="1:13" x14ac:dyDescent="0.35">
      <c r="A92">
        <v>1044</v>
      </c>
      <c r="B92">
        <v>4</v>
      </c>
      <c r="C92">
        <v>46319</v>
      </c>
      <c r="D92" s="1" t="s">
        <v>8</v>
      </c>
      <c r="E92" s="10">
        <f>SUMIF(SalesData[OrderID],Orders[[#This Row],[OrderID]],SalesData[Revenue])</f>
        <v>43150</v>
      </c>
      <c r="F92" s="10">
        <f>SUMIF(SalesData[OrderID],Orders[[#This Row],[OrderID]],SalesData[TotalCost])</f>
        <v>30900</v>
      </c>
      <c r="G92" s="11">
        <f>SUMIF(SalesData[OrderID],Orders[[#This Row],[OrderID]],SalesData[Profit])</f>
        <v>12250</v>
      </c>
      <c r="H92" s="12">
        <f>AVERAGEIF(SalesData[OrderID],Orders[[#This Row],[OrderID]],SalesData[ProfitMargin])</f>
        <v>0.27016559829059827</v>
      </c>
      <c r="I92" s="13" t="str">
        <f>IF(Orders[[#This Row],[Profit]]&gt;10000,"High Profit","Standard Profit")</f>
        <v>High Profit</v>
      </c>
      <c r="J92" s="13" t="str">
        <f>_xlfn.XLOOKUP(Orders[[#This Row],[OrderID]],SalesData[OrderID],SalesData[Region],"Not Found")</f>
        <v>West</v>
      </c>
      <c r="K92" s="13">
        <f>SUMIF(SalesData[OrderID],Orders[[#This Row],[OrderID]],SalesData[Quantity])</f>
        <v>11</v>
      </c>
      <c r="L92" s="13" t="str">
        <f>_xlfn.XLOOKUP(Orders[[#This Row],[OrderID]],SalesData[OrderID],SalesData[Category],"Not Found")</f>
        <v>Storage</v>
      </c>
      <c r="M92" s="16">
        <f>_xlfn.XLOOKUP(Orders[[#This Row],[Category]],ProductMaster[Category],ProductMaster[UnitCost],"Not Found")</f>
        <v>4700</v>
      </c>
    </row>
    <row r="93" spans="1:13" x14ac:dyDescent="0.35">
      <c r="A93">
        <v>1052</v>
      </c>
      <c r="B93">
        <v>34</v>
      </c>
      <c r="C93">
        <v>46321</v>
      </c>
      <c r="D93" s="1" t="s">
        <v>9</v>
      </c>
      <c r="E93" s="10">
        <f>SUMIF(SalesData[OrderID],Orders[[#This Row],[OrderID]],SalesData[Revenue])</f>
        <v>42660</v>
      </c>
      <c r="F93" s="10">
        <f>SUMIF(SalesData[OrderID],Orders[[#This Row],[OrderID]],SalesData[TotalCost])</f>
        <v>29850</v>
      </c>
      <c r="G93" s="11">
        <f>SUMIF(SalesData[OrderID],Orders[[#This Row],[OrderID]],SalesData[Profit])</f>
        <v>12810</v>
      </c>
      <c r="H93" s="12">
        <f>AVERAGEIF(SalesData[OrderID],Orders[[#This Row],[OrderID]],SalesData[ProfitMargin])</f>
        <v>0.30492424242424243</v>
      </c>
      <c r="I93" s="13" t="str">
        <f>IF(Orders[[#This Row],[Profit]]&gt;10000,"High Profit","Standard Profit")</f>
        <v>High Profit</v>
      </c>
      <c r="J93" s="13" t="str">
        <f>_xlfn.XLOOKUP(Orders[[#This Row],[OrderID]],SalesData[OrderID],SalesData[Region],"Not Found")</f>
        <v>Central</v>
      </c>
      <c r="K93" s="13">
        <f>SUMIF(SalesData[OrderID],Orders[[#This Row],[OrderID]],SalesData[Quantity])</f>
        <v>13</v>
      </c>
      <c r="L93" s="13" t="str">
        <f>_xlfn.XLOOKUP(Orders[[#This Row],[OrderID]],SalesData[OrderID],SalesData[Category],"Not Found")</f>
        <v>Accessories</v>
      </c>
      <c r="M93" s="16">
        <f>_xlfn.XLOOKUP(Orders[[#This Row],[Category]],ProductMaster[Category],ProductMaster[UnitCost],"Not Found")</f>
        <v>400</v>
      </c>
    </row>
    <row r="94" spans="1:13" x14ac:dyDescent="0.35">
      <c r="A94">
        <v>1020</v>
      </c>
      <c r="B94">
        <v>15</v>
      </c>
      <c r="C94">
        <v>46324</v>
      </c>
      <c r="D94" s="1" t="s">
        <v>9</v>
      </c>
      <c r="E94" s="10">
        <f>SUMIF(SalesData[OrderID],Orders[[#This Row],[OrderID]],SalesData[Revenue])</f>
        <v>127920</v>
      </c>
      <c r="F94" s="10">
        <f>SUMIF(SalesData[OrderID],Orders[[#This Row],[OrderID]],SalesData[TotalCost])</f>
        <v>93300</v>
      </c>
      <c r="G94" s="11">
        <f>SUMIF(SalesData[OrderID],Orders[[#This Row],[OrderID]],SalesData[Profit])</f>
        <v>34620</v>
      </c>
      <c r="H94" s="12">
        <f>AVERAGEIF(SalesData[OrderID],Orders[[#This Row],[OrderID]],SalesData[ProfitMargin])</f>
        <v>0.27071078431372542</v>
      </c>
      <c r="I94" s="13" t="str">
        <f>IF(Orders[[#This Row],[Profit]]&gt;10000,"High Profit","Standard Profit")</f>
        <v>High Profit</v>
      </c>
      <c r="J94" s="13" t="str">
        <f>_xlfn.XLOOKUP(Orders[[#This Row],[OrderID]],SalesData[OrderID],SalesData[Region],"Not Found")</f>
        <v>Central</v>
      </c>
      <c r="K94" s="13">
        <f>SUMIF(SalesData[OrderID],Orders[[#This Row],[OrderID]],SalesData[Quantity])</f>
        <v>21</v>
      </c>
      <c r="L94" s="13" t="str">
        <f>_xlfn.XLOOKUP(Orders[[#This Row],[OrderID]],SalesData[OrderID],SalesData[Category],"Not Found")</f>
        <v>Furniture</v>
      </c>
      <c r="M94" s="16">
        <f>_xlfn.XLOOKUP(Orders[[#This Row],[Category]],ProductMaster[Category],ProductMaster[UnitCost],"Not Found")</f>
        <v>3000</v>
      </c>
    </row>
    <row r="95" spans="1:13" x14ac:dyDescent="0.35">
      <c r="A95">
        <v>1008</v>
      </c>
      <c r="B95">
        <v>21</v>
      </c>
      <c r="C95">
        <v>46329</v>
      </c>
      <c r="D95" s="1" t="s">
        <v>9</v>
      </c>
      <c r="E95" s="10">
        <f>SUMIF(SalesData[OrderID],Orders[[#This Row],[OrderID]],SalesData[Revenue])</f>
        <v>252960</v>
      </c>
      <c r="F95" s="10">
        <f>SUMIF(SalesData[OrderID],Orders[[#This Row],[OrderID]],SalesData[TotalCost])</f>
        <v>209200</v>
      </c>
      <c r="G95" s="11">
        <f>SUMIF(SalesData[OrderID],Orders[[#This Row],[OrderID]],SalesData[Profit])</f>
        <v>43760</v>
      </c>
      <c r="H95" s="12">
        <f>AVERAGEIF(SalesData[OrderID],Orders[[#This Row],[OrderID]],SalesData[ProfitMargin])</f>
        <v>0.19543650793650791</v>
      </c>
      <c r="I95" s="13" t="str">
        <f>IF(Orders[[#This Row],[Profit]]&gt;10000,"High Profit","Standard Profit")</f>
        <v>High Profit</v>
      </c>
      <c r="J95" s="13" t="str">
        <f>_xlfn.XLOOKUP(Orders[[#This Row],[OrderID]],SalesData[OrderID],SalesData[Region],"Not Found")</f>
        <v>Central</v>
      </c>
      <c r="K95" s="13">
        <f>SUMIF(SalesData[OrderID],Orders[[#This Row],[OrderID]],SalesData[Quantity])</f>
        <v>22</v>
      </c>
      <c r="L95" s="13" t="str">
        <f>_xlfn.XLOOKUP(Orders[[#This Row],[OrderID]],SalesData[OrderID],SalesData[Category],"Not Found")</f>
        <v>Electronics</v>
      </c>
      <c r="M95" s="16">
        <f>_xlfn.XLOOKUP(Orders[[#This Row],[Category]],ProductMaster[Category],ProductMaster[UnitCost],"Not Found")</f>
        <v>46000</v>
      </c>
    </row>
    <row r="96" spans="1:13" x14ac:dyDescent="0.35">
      <c r="A96">
        <v>1066</v>
      </c>
      <c r="B96">
        <v>14</v>
      </c>
      <c r="C96">
        <v>46332</v>
      </c>
      <c r="D96" s="1" t="s">
        <v>8</v>
      </c>
      <c r="E96" s="10">
        <f>SUMIF(SalesData[OrderID],Orders[[#This Row],[OrderID]],SalesData[Revenue])</f>
        <v>28980</v>
      </c>
      <c r="F96" s="10">
        <f>SUMIF(SalesData[OrderID],Orders[[#This Row],[OrderID]],SalesData[TotalCost])</f>
        <v>22100</v>
      </c>
      <c r="G96" s="11">
        <f>SUMIF(SalesData[OrderID],Orders[[#This Row],[OrderID]],SalesData[Profit])</f>
        <v>6880</v>
      </c>
      <c r="H96" s="12">
        <f>AVERAGEIF(SalesData[OrderID],Orders[[#This Row],[OrderID]],SalesData[ProfitMargin])</f>
        <v>0.25903880070546742</v>
      </c>
      <c r="I96" s="13" t="str">
        <f>IF(Orders[[#This Row],[Profit]]&gt;10000,"High Profit","Standard Profit")</f>
        <v>Standard Profit</v>
      </c>
      <c r="J96" s="13" t="str">
        <f>_xlfn.XLOOKUP(Orders[[#This Row],[OrderID]],SalesData[OrderID],SalesData[Region],"Not Found")</f>
        <v>West</v>
      </c>
      <c r="K96" s="13">
        <f>SUMIF(SalesData[OrderID],Orders[[#This Row],[OrderID]],SalesData[Quantity])</f>
        <v>10</v>
      </c>
      <c r="L96" s="13" t="str">
        <f>_xlfn.XLOOKUP(Orders[[#This Row],[OrderID]],SalesData[OrderID],SalesData[Category],"Not Found")</f>
        <v>Networking</v>
      </c>
      <c r="M96" s="16">
        <f>_xlfn.XLOOKUP(Orders[[#This Row],[Category]],ProductMaster[Category],ProductMaster[UnitCost],"Not Found")</f>
        <v>3400</v>
      </c>
    </row>
    <row r="97" spans="1:13" x14ac:dyDescent="0.35">
      <c r="A97">
        <v>1015</v>
      </c>
      <c r="B97">
        <v>28</v>
      </c>
      <c r="C97">
        <v>46333</v>
      </c>
      <c r="D97" s="1" t="s">
        <v>11</v>
      </c>
      <c r="E97" s="10">
        <f>SUMIF(SalesData[OrderID],Orders[[#This Row],[OrderID]],SalesData[Revenue])</f>
        <v>82525</v>
      </c>
      <c r="F97" s="10">
        <f>SUMIF(SalesData[OrderID],Orders[[#This Row],[OrderID]],SalesData[TotalCost])</f>
        <v>62200</v>
      </c>
      <c r="G97" s="11">
        <f>SUMIF(SalesData[OrderID],Orders[[#This Row],[OrderID]],SalesData[Profit])</f>
        <v>20325</v>
      </c>
      <c r="H97" s="12">
        <f>AVERAGEIF(SalesData[OrderID],Orders[[#This Row],[OrderID]],SalesData[ProfitMargin])</f>
        <v>0.25456060966896876</v>
      </c>
      <c r="I97" s="13" t="str">
        <f>IF(Orders[[#This Row],[Profit]]&gt;10000,"High Profit","Standard Profit")</f>
        <v>High Profit</v>
      </c>
      <c r="J97" s="13" t="str">
        <f>_xlfn.XLOOKUP(Orders[[#This Row],[OrderID]],SalesData[OrderID],SalesData[Region],"Not Found")</f>
        <v>Central</v>
      </c>
      <c r="K97" s="13">
        <f>SUMIF(SalesData[OrderID],Orders[[#This Row],[OrderID]],SalesData[Quantity])</f>
        <v>11</v>
      </c>
      <c r="L97" s="13" t="str">
        <f>_xlfn.XLOOKUP(Orders[[#This Row],[OrderID]],SalesData[OrderID],SalesData[Category],"Not Found")</f>
        <v>Furniture</v>
      </c>
      <c r="M97" s="16">
        <f>_xlfn.XLOOKUP(Orders[[#This Row],[Category]],ProductMaster[Category],ProductMaster[UnitCost],"Not Found")</f>
        <v>3000</v>
      </c>
    </row>
    <row r="98" spans="1:13" x14ac:dyDescent="0.35">
      <c r="A98">
        <v>1062</v>
      </c>
      <c r="B98">
        <v>34</v>
      </c>
      <c r="C98">
        <v>46357</v>
      </c>
      <c r="D98" s="1" t="s">
        <v>9</v>
      </c>
      <c r="E98" s="10">
        <f>SUMIF(SalesData[OrderID],Orders[[#This Row],[OrderID]],SalesData[Revenue])</f>
        <v>14910</v>
      </c>
      <c r="F98" s="10">
        <f>SUMIF(SalesData[OrderID],Orders[[#This Row],[OrderID]],SalesData[TotalCost])</f>
        <v>10350</v>
      </c>
      <c r="G98" s="11">
        <f>SUMIF(SalesData[OrderID],Orders[[#This Row],[OrderID]],SalesData[Profit])</f>
        <v>4560</v>
      </c>
      <c r="H98" s="12">
        <f>AVERAGEIF(SalesData[OrderID],Orders[[#This Row],[OrderID]],SalesData[ProfitMargin])</f>
        <v>0.31245015948963317</v>
      </c>
      <c r="I98" s="13" t="str">
        <f>IF(Orders[[#This Row],[Profit]]&gt;10000,"High Profit","Standard Profit")</f>
        <v>Standard Profit</v>
      </c>
      <c r="J98" s="13" t="str">
        <f>_xlfn.XLOOKUP(Orders[[#This Row],[OrderID]],SalesData[OrderID],SalesData[Region],"Not Found")</f>
        <v>Central</v>
      </c>
      <c r="K98" s="13">
        <f>SUMIF(SalesData[OrderID],Orders[[#This Row],[OrderID]],SalesData[Quantity])</f>
        <v>6</v>
      </c>
      <c r="L98" s="13" t="str">
        <f>_xlfn.XLOOKUP(Orders[[#This Row],[OrderID]],SalesData[OrderID],SalesData[Category],"Not Found")</f>
        <v>Accessories</v>
      </c>
      <c r="M98" s="16">
        <f>_xlfn.XLOOKUP(Orders[[#This Row],[Category]],ProductMaster[Category],ProductMaster[UnitCost],"Not Found")</f>
        <v>400</v>
      </c>
    </row>
    <row r="99" spans="1:13" x14ac:dyDescent="0.35">
      <c r="A99">
        <v>1074</v>
      </c>
      <c r="B99">
        <v>10</v>
      </c>
      <c r="C99">
        <v>46376</v>
      </c>
      <c r="D99" s="1" t="s">
        <v>9</v>
      </c>
      <c r="E99" s="10">
        <f>SUMIF(SalesData[OrderID],Orders[[#This Row],[OrderID]],SalesData[Revenue])</f>
        <v>123795</v>
      </c>
      <c r="F99" s="10">
        <f>SUMIF(SalesData[OrderID],Orders[[#This Row],[OrderID]],SalesData[TotalCost])</f>
        <v>90150</v>
      </c>
      <c r="G99" s="11">
        <f>SUMIF(SalesData[OrderID],Orders[[#This Row],[OrderID]],SalesData[Profit])</f>
        <v>33645</v>
      </c>
      <c r="H99" s="12">
        <f>AVERAGEIF(SalesData[OrderID],Orders[[#This Row],[OrderID]],SalesData[ProfitMargin])</f>
        <v>0.2997949984367641</v>
      </c>
      <c r="I99" s="13" t="str">
        <f>IF(Orders[[#This Row],[Profit]]&gt;10000,"High Profit","Standard Profit")</f>
        <v>High Profit</v>
      </c>
      <c r="J99" s="13" t="str">
        <f>_xlfn.XLOOKUP(Orders[[#This Row],[OrderID]],SalesData[OrderID],SalesData[Region],"Not Found")</f>
        <v>South</v>
      </c>
      <c r="K99" s="13">
        <f>SUMIF(SalesData[OrderID],Orders[[#This Row],[OrderID]],SalesData[Quantity])</f>
        <v>22</v>
      </c>
      <c r="L99" s="13" t="str">
        <f>_xlfn.XLOOKUP(Orders[[#This Row],[OrderID]],SalesData[OrderID],SalesData[Category],"Not Found")</f>
        <v>Storage</v>
      </c>
      <c r="M99" s="16">
        <f>_xlfn.XLOOKUP(Orders[[#This Row],[Category]],ProductMaster[Category],ProductMaster[UnitCost],"Not Found")</f>
        <v>4700</v>
      </c>
    </row>
    <row r="100" spans="1:13" x14ac:dyDescent="0.35">
      <c r="A100">
        <v>1084</v>
      </c>
      <c r="B100">
        <v>7</v>
      </c>
      <c r="C100">
        <v>46382</v>
      </c>
      <c r="D100" s="1" t="s">
        <v>9</v>
      </c>
      <c r="E100" s="10">
        <f>SUMIF(SalesData[OrderID],Orders[[#This Row],[OrderID]],SalesData[Revenue])</f>
        <v>70150</v>
      </c>
      <c r="F100" s="10">
        <f>SUMIF(SalesData[OrderID],Orders[[#This Row],[OrderID]],SalesData[TotalCost])</f>
        <v>49800</v>
      </c>
      <c r="G100" s="11">
        <f>SUMIF(SalesData[OrderID],Orders[[#This Row],[OrderID]],SalesData[Profit])</f>
        <v>20350</v>
      </c>
      <c r="H100" s="12">
        <f>AVERAGEIF(SalesData[OrderID],Orders[[#This Row],[OrderID]],SalesData[ProfitMargin])</f>
        <v>0.30150462962962959</v>
      </c>
      <c r="I100" s="13" t="str">
        <f>IF(Orders[[#This Row],[Profit]]&gt;10000,"High Profit","Standard Profit")</f>
        <v>High Profit</v>
      </c>
      <c r="J100" s="13" t="str">
        <f>_xlfn.XLOOKUP(Orders[[#This Row],[OrderID]],SalesData[OrderID],SalesData[Region],"Not Found")</f>
        <v>North</v>
      </c>
      <c r="K100" s="13">
        <f>SUMIF(SalesData[OrderID],Orders[[#This Row],[OrderID]],SalesData[Quantity])</f>
        <v>19</v>
      </c>
      <c r="L100" s="13" t="str">
        <f>_xlfn.XLOOKUP(Orders[[#This Row],[OrderID]],SalesData[OrderID],SalesData[Category],"Not Found")</f>
        <v>Accessories</v>
      </c>
      <c r="M100" s="16">
        <f>_xlfn.XLOOKUP(Orders[[#This Row],[Category]],ProductMaster[Category],ProductMaster[UnitCost],"Not Found")</f>
        <v>400</v>
      </c>
    </row>
    <row r="101" spans="1:13" x14ac:dyDescent="0.35">
      <c r="A101">
        <v>1098</v>
      </c>
      <c r="B101">
        <v>28</v>
      </c>
      <c r="C101">
        <v>46385</v>
      </c>
      <c r="D101" s="1" t="s">
        <v>9</v>
      </c>
      <c r="E101" s="10">
        <f>SUMIF(SalesData[OrderID],Orders[[#This Row],[OrderID]],SalesData[Revenue])</f>
        <v>44875</v>
      </c>
      <c r="F101" s="10">
        <f>SUMIF(SalesData[OrderID],Orders[[#This Row],[OrderID]],SalesData[TotalCost])</f>
        <v>31200</v>
      </c>
      <c r="G101" s="11">
        <f>SUMIF(SalesData[OrderID],Orders[[#This Row],[OrderID]],SalesData[Profit])</f>
        <v>13675</v>
      </c>
      <c r="H101" s="12">
        <f>AVERAGEIF(SalesData[OrderID],Orders[[#This Row],[OrderID]],SalesData[ProfitMargin])</f>
        <v>0.32099780701754388</v>
      </c>
      <c r="I101" s="13" t="str">
        <f>IF(Orders[[#This Row],[Profit]]&gt;10000,"High Profit","Standard Profit")</f>
        <v>High Profit</v>
      </c>
      <c r="J101" s="13" t="str">
        <f>_xlfn.XLOOKUP(Orders[[#This Row],[OrderID]],SalesData[OrderID],SalesData[Region],"Not Found")</f>
        <v>Central</v>
      </c>
      <c r="K101" s="13">
        <f>SUMIF(SalesData[OrderID],Orders[[#This Row],[OrderID]],SalesData[Quantity])</f>
        <v>11</v>
      </c>
      <c r="L101" s="13" t="str">
        <f>_xlfn.XLOOKUP(Orders[[#This Row],[OrderID]],SalesData[OrderID],SalesData[Category],"Not Found")</f>
        <v>Furniture</v>
      </c>
      <c r="M101" s="16">
        <f>_xlfn.XLOOKUP(Orders[[#This Row],[Category]],ProductMaster[Category],ProductMaster[UnitCost],"Not Found")</f>
        <v>3000</v>
      </c>
    </row>
  </sheetData>
  <conditionalFormatting sqref="E1:H10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H101">
    <cfRule type="colorScale" priority="1">
      <colorScale>
        <cfvo type="min"/>
        <cfvo type="max"/>
        <color theme="9" tint="0.39997558519241921"/>
        <color theme="9" tint="-0.499984740745262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C822-1CAB-4FCB-BED1-9CF00B2E461B}">
  <dimension ref="A1:E218"/>
  <sheetViews>
    <sheetView workbookViewId="0"/>
  </sheetViews>
  <sheetFormatPr defaultRowHeight="14.5" x14ac:dyDescent="0.35"/>
  <cols>
    <col min="1" max="1" width="14.7265625" bestFit="1" customWidth="1"/>
    <col min="2" max="2" width="9.81640625" bestFit="1" customWidth="1"/>
    <col min="3" max="3" width="11.54296875" bestFit="1" customWidth="1"/>
    <col min="4" max="4" width="10.453125" bestFit="1" customWidth="1"/>
    <col min="5" max="5" width="10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1021</v>
      </c>
      <c r="C2">
        <v>14</v>
      </c>
      <c r="D2">
        <v>5</v>
      </c>
      <c r="E2">
        <v>6500</v>
      </c>
    </row>
    <row r="3" spans="1:5" x14ac:dyDescent="0.35">
      <c r="A3">
        <v>2</v>
      </c>
      <c r="B3">
        <v>1021</v>
      </c>
      <c r="C3">
        <v>2</v>
      </c>
      <c r="D3">
        <v>5</v>
      </c>
      <c r="E3">
        <v>12000</v>
      </c>
    </row>
    <row r="4" spans="1:5" x14ac:dyDescent="0.35">
      <c r="A4">
        <v>3</v>
      </c>
      <c r="B4">
        <v>1021</v>
      </c>
      <c r="C4">
        <v>12</v>
      </c>
      <c r="D4">
        <v>6</v>
      </c>
      <c r="E4">
        <v>4800</v>
      </c>
    </row>
    <row r="5" spans="1:5" x14ac:dyDescent="0.35">
      <c r="A5">
        <v>4</v>
      </c>
      <c r="B5">
        <v>1023</v>
      </c>
      <c r="C5">
        <v>5</v>
      </c>
      <c r="D5">
        <v>4</v>
      </c>
      <c r="E5">
        <v>4500</v>
      </c>
    </row>
    <row r="6" spans="1:5" x14ac:dyDescent="0.35">
      <c r="A6">
        <v>5</v>
      </c>
      <c r="B6">
        <v>1023</v>
      </c>
      <c r="C6">
        <v>9</v>
      </c>
      <c r="D6">
        <v>11</v>
      </c>
      <c r="E6">
        <v>1500</v>
      </c>
    </row>
    <row r="7" spans="1:5" x14ac:dyDescent="0.35">
      <c r="A7">
        <v>6</v>
      </c>
      <c r="B7">
        <v>1023</v>
      </c>
      <c r="C7">
        <v>3</v>
      </c>
      <c r="D7">
        <v>11</v>
      </c>
      <c r="E7">
        <v>17100</v>
      </c>
    </row>
    <row r="8" spans="1:5" x14ac:dyDescent="0.35">
      <c r="A8">
        <v>7</v>
      </c>
      <c r="B8">
        <v>1085</v>
      </c>
      <c r="C8">
        <v>10</v>
      </c>
      <c r="D8">
        <v>9</v>
      </c>
      <c r="E8">
        <v>1980</v>
      </c>
    </row>
    <row r="9" spans="1:5" x14ac:dyDescent="0.35">
      <c r="A9">
        <v>8</v>
      </c>
      <c r="B9">
        <v>1085</v>
      </c>
      <c r="C9">
        <v>5</v>
      </c>
      <c r="D9">
        <v>5</v>
      </c>
      <c r="E9">
        <v>4500</v>
      </c>
    </row>
    <row r="10" spans="1:5" x14ac:dyDescent="0.35">
      <c r="A10">
        <v>9</v>
      </c>
      <c r="B10">
        <v>1085</v>
      </c>
      <c r="C10">
        <v>7</v>
      </c>
      <c r="D10">
        <v>4</v>
      </c>
      <c r="E10">
        <v>6200</v>
      </c>
    </row>
    <row r="11" spans="1:5" x14ac:dyDescent="0.35">
      <c r="A11">
        <v>10</v>
      </c>
      <c r="B11">
        <v>1051</v>
      </c>
      <c r="C11">
        <v>10</v>
      </c>
      <c r="D11">
        <v>8</v>
      </c>
      <c r="E11">
        <v>2200</v>
      </c>
    </row>
    <row r="12" spans="1:5" x14ac:dyDescent="0.35">
      <c r="A12">
        <v>11</v>
      </c>
      <c r="B12">
        <v>1051</v>
      </c>
      <c r="C12">
        <v>11</v>
      </c>
      <c r="D12">
        <v>8</v>
      </c>
      <c r="E12">
        <v>3040</v>
      </c>
    </row>
    <row r="13" spans="1:5" x14ac:dyDescent="0.35">
      <c r="A13">
        <v>12</v>
      </c>
      <c r="B13">
        <v>1051</v>
      </c>
      <c r="C13">
        <v>6</v>
      </c>
      <c r="D13">
        <v>9</v>
      </c>
      <c r="E13">
        <v>8500</v>
      </c>
    </row>
    <row r="14" spans="1:5" x14ac:dyDescent="0.35">
      <c r="A14">
        <v>13</v>
      </c>
      <c r="B14">
        <v>1077</v>
      </c>
      <c r="C14">
        <v>3</v>
      </c>
      <c r="D14">
        <v>5</v>
      </c>
      <c r="E14">
        <v>18000</v>
      </c>
    </row>
    <row r="15" spans="1:5" x14ac:dyDescent="0.35">
      <c r="A15">
        <v>14</v>
      </c>
      <c r="B15">
        <v>1077</v>
      </c>
      <c r="C15">
        <v>11</v>
      </c>
      <c r="D15">
        <v>11</v>
      </c>
      <c r="E15">
        <v>3200</v>
      </c>
    </row>
    <row r="16" spans="1:5" x14ac:dyDescent="0.35">
      <c r="A16">
        <v>15</v>
      </c>
      <c r="B16">
        <v>1077</v>
      </c>
      <c r="C16">
        <v>2</v>
      </c>
      <c r="D16">
        <v>6</v>
      </c>
      <c r="E16">
        <v>10800</v>
      </c>
    </row>
    <row r="17" spans="1:5" x14ac:dyDescent="0.35">
      <c r="A17">
        <v>16</v>
      </c>
      <c r="B17">
        <v>1076</v>
      </c>
      <c r="C17">
        <v>11</v>
      </c>
      <c r="D17">
        <v>5</v>
      </c>
      <c r="E17">
        <v>3040</v>
      </c>
    </row>
    <row r="18" spans="1:5" x14ac:dyDescent="0.35">
      <c r="A18">
        <v>17</v>
      </c>
      <c r="B18">
        <v>1030</v>
      </c>
      <c r="C18">
        <v>3</v>
      </c>
      <c r="D18">
        <v>1</v>
      </c>
      <c r="E18">
        <v>16200</v>
      </c>
    </row>
    <row r="19" spans="1:5" x14ac:dyDescent="0.35">
      <c r="A19">
        <v>18</v>
      </c>
      <c r="B19">
        <v>1045</v>
      </c>
      <c r="C19">
        <v>8</v>
      </c>
      <c r="D19">
        <v>10</v>
      </c>
      <c r="E19">
        <v>630</v>
      </c>
    </row>
    <row r="20" spans="1:5" x14ac:dyDescent="0.35">
      <c r="A20">
        <v>19</v>
      </c>
      <c r="B20">
        <v>1022</v>
      </c>
      <c r="C20">
        <v>7</v>
      </c>
      <c r="D20">
        <v>10</v>
      </c>
      <c r="E20">
        <v>5890</v>
      </c>
    </row>
    <row r="21" spans="1:5" x14ac:dyDescent="0.35">
      <c r="A21">
        <v>20</v>
      </c>
      <c r="B21">
        <v>1022</v>
      </c>
      <c r="C21">
        <v>11</v>
      </c>
      <c r="D21">
        <v>12</v>
      </c>
      <c r="E21">
        <v>3200</v>
      </c>
    </row>
    <row r="22" spans="1:5" x14ac:dyDescent="0.35">
      <c r="A22">
        <v>21</v>
      </c>
      <c r="B22">
        <v>1039</v>
      </c>
      <c r="C22">
        <v>7</v>
      </c>
      <c r="D22">
        <v>3</v>
      </c>
      <c r="E22">
        <v>5580</v>
      </c>
    </row>
    <row r="23" spans="1:5" x14ac:dyDescent="0.35">
      <c r="A23">
        <v>22</v>
      </c>
      <c r="B23">
        <v>1039</v>
      </c>
      <c r="C23">
        <v>4</v>
      </c>
      <c r="D23">
        <v>2</v>
      </c>
      <c r="E23">
        <v>28000</v>
      </c>
    </row>
    <row r="24" spans="1:5" x14ac:dyDescent="0.35">
      <c r="A24">
        <v>23</v>
      </c>
      <c r="B24">
        <v>1048</v>
      </c>
      <c r="C24">
        <v>3</v>
      </c>
      <c r="D24">
        <v>12</v>
      </c>
      <c r="E24">
        <v>18000</v>
      </c>
    </row>
    <row r="25" spans="1:5" x14ac:dyDescent="0.35">
      <c r="A25">
        <v>24</v>
      </c>
      <c r="B25">
        <v>1089</v>
      </c>
      <c r="C25">
        <v>1</v>
      </c>
      <c r="D25">
        <v>4</v>
      </c>
      <c r="E25">
        <v>49500</v>
      </c>
    </row>
    <row r="26" spans="1:5" x14ac:dyDescent="0.35">
      <c r="A26">
        <v>25</v>
      </c>
      <c r="B26">
        <v>1089</v>
      </c>
      <c r="C26">
        <v>9</v>
      </c>
      <c r="D26">
        <v>8</v>
      </c>
      <c r="E26">
        <v>1425</v>
      </c>
    </row>
    <row r="27" spans="1:5" x14ac:dyDescent="0.35">
      <c r="A27">
        <v>26</v>
      </c>
      <c r="B27">
        <v>1100</v>
      </c>
      <c r="C27">
        <v>11</v>
      </c>
      <c r="D27">
        <v>9</v>
      </c>
      <c r="E27">
        <v>3200</v>
      </c>
    </row>
    <row r="28" spans="1:5" x14ac:dyDescent="0.35">
      <c r="A28">
        <v>27</v>
      </c>
      <c r="B28">
        <v>1100</v>
      </c>
      <c r="C28">
        <v>9</v>
      </c>
      <c r="D28">
        <v>6</v>
      </c>
      <c r="E28">
        <v>1500</v>
      </c>
    </row>
    <row r="29" spans="1:5" x14ac:dyDescent="0.35">
      <c r="A29">
        <v>28</v>
      </c>
      <c r="B29">
        <v>1056</v>
      </c>
      <c r="C29">
        <v>14</v>
      </c>
      <c r="D29">
        <v>7</v>
      </c>
      <c r="E29">
        <v>6500</v>
      </c>
    </row>
    <row r="30" spans="1:5" x14ac:dyDescent="0.35">
      <c r="A30">
        <v>29</v>
      </c>
      <c r="B30">
        <v>1056</v>
      </c>
      <c r="C30">
        <v>12</v>
      </c>
      <c r="D30">
        <v>8</v>
      </c>
      <c r="E30">
        <v>4560</v>
      </c>
    </row>
    <row r="31" spans="1:5" x14ac:dyDescent="0.35">
      <c r="A31">
        <v>30</v>
      </c>
      <c r="B31">
        <v>1056</v>
      </c>
      <c r="C31">
        <v>9</v>
      </c>
      <c r="D31">
        <v>12</v>
      </c>
      <c r="E31">
        <v>1500</v>
      </c>
    </row>
    <row r="32" spans="1:5" x14ac:dyDescent="0.35">
      <c r="A32">
        <v>31</v>
      </c>
      <c r="B32">
        <v>1034</v>
      </c>
      <c r="C32">
        <v>5</v>
      </c>
      <c r="D32">
        <v>4</v>
      </c>
      <c r="E32">
        <v>4500</v>
      </c>
    </row>
    <row r="33" spans="1:5" x14ac:dyDescent="0.35">
      <c r="A33">
        <v>32</v>
      </c>
      <c r="B33">
        <v>1034</v>
      </c>
      <c r="C33">
        <v>13</v>
      </c>
      <c r="D33">
        <v>9</v>
      </c>
      <c r="E33">
        <v>9500</v>
      </c>
    </row>
    <row r="34" spans="1:5" x14ac:dyDescent="0.35">
      <c r="A34">
        <v>33</v>
      </c>
      <c r="B34">
        <v>1028</v>
      </c>
      <c r="C34">
        <v>4</v>
      </c>
      <c r="D34">
        <v>2</v>
      </c>
      <c r="E34">
        <v>28000</v>
      </c>
    </row>
    <row r="35" spans="1:5" x14ac:dyDescent="0.35">
      <c r="A35">
        <v>34</v>
      </c>
      <c r="B35">
        <v>1028</v>
      </c>
      <c r="C35">
        <v>5</v>
      </c>
      <c r="D35">
        <v>4</v>
      </c>
      <c r="E35">
        <v>4500</v>
      </c>
    </row>
    <row r="36" spans="1:5" x14ac:dyDescent="0.35">
      <c r="A36">
        <v>35</v>
      </c>
      <c r="B36">
        <v>1028</v>
      </c>
      <c r="C36">
        <v>8</v>
      </c>
      <c r="D36">
        <v>6</v>
      </c>
      <c r="E36">
        <v>700</v>
      </c>
    </row>
    <row r="37" spans="1:5" x14ac:dyDescent="0.35">
      <c r="A37">
        <v>36</v>
      </c>
      <c r="B37">
        <v>1064</v>
      </c>
      <c r="C37">
        <v>2</v>
      </c>
      <c r="D37">
        <v>4</v>
      </c>
      <c r="E37">
        <v>12000</v>
      </c>
    </row>
    <row r="38" spans="1:5" x14ac:dyDescent="0.35">
      <c r="A38">
        <v>37</v>
      </c>
      <c r="B38">
        <v>1064</v>
      </c>
      <c r="C38">
        <v>3</v>
      </c>
      <c r="D38">
        <v>12</v>
      </c>
      <c r="E38">
        <v>17100</v>
      </c>
    </row>
    <row r="39" spans="1:5" x14ac:dyDescent="0.35">
      <c r="A39">
        <v>38</v>
      </c>
      <c r="B39">
        <v>1064</v>
      </c>
      <c r="C39">
        <v>13</v>
      </c>
      <c r="D39">
        <v>12</v>
      </c>
      <c r="E39">
        <v>9025</v>
      </c>
    </row>
    <row r="40" spans="1:5" x14ac:dyDescent="0.35">
      <c r="A40">
        <v>39</v>
      </c>
      <c r="B40">
        <v>1065</v>
      </c>
      <c r="C40">
        <v>7</v>
      </c>
      <c r="D40">
        <v>7</v>
      </c>
      <c r="E40">
        <v>6200</v>
      </c>
    </row>
    <row r="41" spans="1:5" x14ac:dyDescent="0.35">
      <c r="A41">
        <v>40</v>
      </c>
      <c r="B41">
        <v>1001</v>
      </c>
      <c r="C41">
        <v>8</v>
      </c>
      <c r="D41">
        <v>4</v>
      </c>
      <c r="E41">
        <v>700</v>
      </c>
    </row>
    <row r="42" spans="1:5" x14ac:dyDescent="0.35">
      <c r="A42">
        <v>41</v>
      </c>
      <c r="B42">
        <v>1001</v>
      </c>
      <c r="C42">
        <v>7</v>
      </c>
      <c r="D42">
        <v>7</v>
      </c>
      <c r="E42">
        <v>6200</v>
      </c>
    </row>
    <row r="43" spans="1:5" x14ac:dyDescent="0.35">
      <c r="A43">
        <v>42</v>
      </c>
      <c r="B43">
        <v>1001</v>
      </c>
      <c r="C43">
        <v>1</v>
      </c>
      <c r="D43">
        <v>12</v>
      </c>
      <c r="E43">
        <v>49500</v>
      </c>
    </row>
    <row r="44" spans="1:5" x14ac:dyDescent="0.35">
      <c r="A44">
        <v>43</v>
      </c>
      <c r="B44">
        <v>1009</v>
      </c>
      <c r="C44">
        <v>7</v>
      </c>
      <c r="D44">
        <v>6</v>
      </c>
      <c r="E44">
        <v>6200</v>
      </c>
    </row>
    <row r="45" spans="1:5" x14ac:dyDescent="0.35">
      <c r="A45">
        <v>44</v>
      </c>
      <c r="B45">
        <v>1009</v>
      </c>
      <c r="C45">
        <v>8</v>
      </c>
      <c r="D45">
        <v>7</v>
      </c>
      <c r="E45">
        <v>700</v>
      </c>
    </row>
    <row r="46" spans="1:5" x14ac:dyDescent="0.35">
      <c r="A46">
        <v>45</v>
      </c>
      <c r="B46">
        <v>1009</v>
      </c>
      <c r="C46">
        <v>1</v>
      </c>
      <c r="D46">
        <v>9</v>
      </c>
      <c r="E46">
        <v>55000</v>
      </c>
    </row>
    <row r="47" spans="1:5" x14ac:dyDescent="0.35">
      <c r="A47">
        <v>46</v>
      </c>
      <c r="B47">
        <v>1073</v>
      </c>
      <c r="C47">
        <v>4</v>
      </c>
      <c r="D47">
        <v>5</v>
      </c>
      <c r="E47">
        <v>28000</v>
      </c>
    </row>
    <row r="48" spans="1:5" x14ac:dyDescent="0.35">
      <c r="A48">
        <v>47</v>
      </c>
      <c r="B48">
        <v>1073</v>
      </c>
      <c r="C48">
        <v>8</v>
      </c>
      <c r="D48">
        <v>8</v>
      </c>
      <c r="E48">
        <v>630</v>
      </c>
    </row>
    <row r="49" spans="1:5" x14ac:dyDescent="0.35">
      <c r="A49">
        <v>48</v>
      </c>
      <c r="B49">
        <v>1073</v>
      </c>
      <c r="C49">
        <v>14</v>
      </c>
      <c r="D49">
        <v>7</v>
      </c>
      <c r="E49">
        <v>6500</v>
      </c>
    </row>
    <row r="50" spans="1:5" x14ac:dyDescent="0.35">
      <c r="A50">
        <v>49</v>
      </c>
      <c r="B50">
        <v>1092</v>
      </c>
      <c r="C50">
        <v>11</v>
      </c>
      <c r="D50">
        <v>12</v>
      </c>
      <c r="E50">
        <v>3040</v>
      </c>
    </row>
    <row r="51" spans="1:5" x14ac:dyDescent="0.35">
      <c r="A51">
        <v>50</v>
      </c>
      <c r="B51">
        <v>1092</v>
      </c>
      <c r="C51">
        <v>13</v>
      </c>
      <c r="D51">
        <v>8</v>
      </c>
      <c r="E51">
        <v>9025</v>
      </c>
    </row>
    <row r="52" spans="1:5" x14ac:dyDescent="0.35">
      <c r="A52">
        <v>51</v>
      </c>
      <c r="B52">
        <v>1092</v>
      </c>
      <c r="C52">
        <v>7</v>
      </c>
      <c r="D52">
        <v>10</v>
      </c>
      <c r="E52">
        <v>6200</v>
      </c>
    </row>
    <row r="53" spans="1:5" x14ac:dyDescent="0.35">
      <c r="A53">
        <v>52</v>
      </c>
      <c r="B53">
        <v>1055</v>
      </c>
      <c r="C53">
        <v>7</v>
      </c>
      <c r="D53">
        <v>10</v>
      </c>
      <c r="E53">
        <v>6200</v>
      </c>
    </row>
    <row r="54" spans="1:5" x14ac:dyDescent="0.35">
      <c r="A54">
        <v>53</v>
      </c>
      <c r="B54">
        <v>1006</v>
      </c>
      <c r="C54">
        <v>1</v>
      </c>
      <c r="D54">
        <v>7</v>
      </c>
      <c r="E54">
        <v>52250</v>
      </c>
    </row>
    <row r="55" spans="1:5" x14ac:dyDescent="0.35">
      <c r="A55">
        <v>54</v>
      </c>
      <c r="B55">
        <v>1006</v>
      </c>
      <c r="C55">
        <v>2</v>
      </c>
      <c r="D55">
        <v>8</v>
      </c>
      <c r="E55">
        <v>11400</v>
      </c>
    </row>
    <row r="56" spans="1:5" x14ac:dyDescent="0.35">
      <c r="A56">
        <v>55</v>
      </c>
      <c r="B56">
        <v>1006</v>
      </c>
      <c r="C56">
        <v>11</v>
      </c>
      <c r="D56">
        <v>1</v>
      </c>
      <c r="E56">
        <v>3200</v>
      </c>
    </row>
    <row r="57" spans="1:5" x14ac:dyDescent="0.35">
      <c r="A57">
        <v>56</v>
      </c>
      <c r="B57">
        <v>1080</v>
      </c>
      <c r="C57">
        <v>6</v>
      </c>
      <c r="D57">
        <v>8</v>
      </c>
      <c r="E57">
        <v>8500</v>
      </c>
    </row>
    <row r="58" spans="1:5" x14ac:dyDescent="0.35">
      <c r="A58">
        <v>57</v>
      </c>
      <c r="B58">
        <v>1080</v>
      </c>
      <c r="C58">
        <v>4</v>
      </c>
      <c r="D58">
        <v>6</v>
      </c>
      <c r="E58">
        <v>28000</v>
      </c>
    </row>
    <row r="59" spans="1:5" x14ac:dyDescent="0.35">
      <c r="A59">
        <v>58</v>
      </c>
      <c r="B59">
        <v>1081</v>
      </c>
      <c r="C59">
        <v>13</v>
      </c>
      <c r="D59">
        <v>5</v>
      </c>
      <c r="E59">
        <v>8550</v>
      </c>
    </row>
    <row r="60" spans="1:5" x14ac:dyDescent="0.35">
      <c r="A60">
        <v>59</v>
      </c>
      <c r="B60">
        <v>1081</v>
      </c>
      <c r="C60">
        <v>7</v>
      </c>
      <c r="D60">
        <v>8</v>
      </c>
      <c r="E60">
        <v>5580</v>
      </c>
    </row>
    <row r="61" spans="1:5" x14ac:dyDescent="0.35">
      <c r="A61">
        <v>60</v>
      </c>
      <c r="B61">
        <v>1033</v>
      </c>
      <c r="C61">
        <v>9</v>
      </c>
      <c r="D61">
        <v>4</v>
      </c>
      <c r="E61">
        <v>1350</v>
      </c>
    </row>
    <row r="62" spans="1:5" x14ac:dyDescent="0.35">
      <c r="A62">
        <v>61</v>
      </c>
      <c r="B62">
        <v>1033</v>
      </c>
      <c r="C62">
        <v>1</v>
      </c>
      <c r="D62">
        <v>11</v>
      </c>
      <c r="E62">
        <v>49500</v>
      </c>
    </row>
    <row r="63" spans="1:5" x14ac:dyDescent="0.35">
      <c r="A63">
        <v>62</v>
      </c>
      <c r="B63">
        <v>1033</v>
      </c>
      <c r="C63">
        <v>6</v>
      </c>
      <c r="D63">
        <v>1</v>
      </c>
      <c r="E63">
        <v>8075</v>
      </c>
    </row>
    <row r="64" spans="1:5" x14ac:dyDescent="0.35">
      <c r="A64">
        <v>63</v>
      </c>
      <c r="B64">
        <v>1032</v>
      </c>
      <c r="C64">
        <v>14</v>
      </c>
      <c r="D64">
        <v>1</v>
      </c>
      <c r="E64">
        <v>6500</v>
      </c>
    </row>
    <row r="65" spans="1:5" x14ac:dyDescent="0.35">
      <c r="A65">
        <v>64</v>
      </c>
      <c r="B65">
        <v>1088</v>
      </c>
      <c r="C65">
        <v>4</v>
      </c>
      <c r="D65">
        <v>3</v>
      </c>
      <c r="E65">
        <v>28000</v>
      </c>
    </row>
    <row r="66" spans="1:5" x14ac:dyDescent="0.35">
      <c r="A66">
        <v>65</v>
      </c>
      <c r="B66">
        <v>1067</v>
      </c>
      <c r="C66">
        <v>2</v>
      </c>
      <c r="D66">
        <v>8</v>
      </c>
      <c r="E66">
        <v>12000</v>
      </c>
    </row>
    <row r="67" spans="1:5" x14ac:dyDescent="0.35">
      <c r="A67">
        <v>66</v>
      </c>
      <c r="B67">
        <v>1067</v>
      </c>
      <c r="C67">
        <v>10</v>
      </c>
      <c r="D67">
        <v>6</v>
      </c>
      <c r="E67">
        <v>2090</v>
      </c>
    </row>
    <row r="68" spans="1:5" x14ac:dyDescent="0.35">
      <c r="A68">
        <v>67</v>
      </c>
      <c r="B68">
        <v>1067</v>
      </c>
      <c r="C68">
        <v>4</v>
      </c>
      <c r="D68">
        <v>10</v>
      </c>
      <c r="E68">
        <v>28000</v>
      </c>
    </row>
    <row r="69" spans="1:5" x14ac:dyDescent="0.35">
      <c r="A69">
        <v>68</v>
      </c>
      <c r="B69">
        <v>1025</v>
      </c>
      <c r="C69">
        <v>12</v>
      </c>
      <c r="D69">
        <v>5</v>
      </c>
      <c r="E69">
        <v>4320</v>
      </c>
    </row>
    <row r="70" spans="1:5" x14ac:dyDescent="0.35">
      <c r="A70">
        <v>69</v>
      </c>
      <c r="B70">
        <v>1025</v>
      </c>
      <c r="C70">
        <v>2</v>
      </c>
      <c r="D70">
        <v>10</v>
      </c>
      <c r="E70">
        <v>10800</v>
      </c>
    </row>
    <row r="71" spans="1:5" x14ac:dyDescent="0.35">
      <c r="A71">
        <v>70</v>
      </c>
      <c r="B71">
        <v>1025</v>
      </c>
      <c r="C71">
        <v>3</v>
      </c>
      <c r="D71">
        <v>5</v>
      </c>
      <c r="E71">
        <v>18000</v>
      </c>
    </row>
    <row r="72" spans="1:5" x14ac:dyDescent="0.35">
      <c r="A72">
        <v>71</v>
      </c>
      <c r="B72">
        <v>1058</v>
      </c>
      <c r="C72">
        <v>7</v>
      </c>
      <c r="D72">
        <v>4</v>
      </c>
      <c r="E72">
        <v>5580</v>
      </c>
    </row>
    <row r="73" spans="1:5" x14ac:dyDescent="0.35">
      <c r="A73">
        <v>72</v>
      </c>
      <c r="B73">
        <v>1058</v>
      </c>
      <c r="C73">
        <v>14</v>
      </c>
      <c r="D73">
        <v>10</v>
      </c>
      <c r="E73">
        <v>6175</v>
      </c>
    </row>
    <row r="74" spans="1:5" x14ac:dyDescent="0.35">
      <c r="A74">
        <v>73</v>
      </c>
      <c r="B74">
        <v>1058</v>
      </c>
      <c r="C74">
        <v>12</v>
      </c>
      <c r="D74">
        <v>2</v>
      </c>
      <c r="E74">
        <v>4800</v>
      </c>
    </row>
    <row r="75" spans="1:5" x14ac:dyDescent="0.35">
      <c r="A75">
        <v>74</v>
      </c>
      <c r="B75">
        <v>1019</v>
      </c>
      <c r="C75">
        <v>10</v>
      </c>
      <c r="D75">
        <v>10</v>
      </c>
      <c r="E75">
        <v>1980</v>
      </c>
    </row>
    <row r="76" spans="1:5" x14ac:dyDescent="0.35">
      <c r="A76">
        <v>75</v>
      </c>
      <c r="B76">
        <v>1019</v>
      </c>
      <c r="C76">
        <v>13</v>
      </c>
      <c r="D76">
        <v>6</v>
      </c>
      <c r="E76">
        <v>9500</v>
      </c>
    </row>
    <row r="77" spans="1:5" x14ac:dyDescent="0.35">
      <c r="A77">
        <v>76</v>
      </c>
      <c r="B77">
        <v>1019</v>
      </c>
      <c r="C77">
        <v>2</v>
      </c>
      <c r="D77">
        <v>7</v>
      </c>
      <c r="E77">
        <v>12000</v>
      </c>
    </row>
    <row r="78" spans="1:5" x14ac:dyDescent="0.35">
      <c r="A78">
        <v>77</v>
      </c>
      <c r="B78">
        <v>1087</v>
      </c>
      <c r="C78">
        <v>9</v>
      </c>
      <c r="D78">
        <v>11</v>
      </c>
      <c r="E78">
        <v>1500</v>
      </c>
    </row>
    <row r="79" spans="1:5" x14ac:dyDescent="0.35">
      <c r="A79">
        <v>78</v>
      </c>
      <c r="B79">
        <v>1049</v>
      </c>
      <c r="C79">
        <v>14</v>
      </c>
      <c r="D79">
        <v>7</v>
      </c>
      <c r="E79">
        <v>6500</v>
      </c>
    </row>
    <row r="80" spans="1:5" x14ac:dyDescent="0.35">
      <c r="A80">
        <v>79</v>
      </c>
      <c r="B80">
        <v>1024</v>
      </c>
      <c r="C80">
        <v>7</v>
      </c>
      <c r="D80">
        <v>6</v>
      </c>
      <c r="E80">
        <v>6200</v>
      </c>
    </row>
    <row r="81" spans="1:5" x14ac:dyDescent="0.35">
      <c r="A81">
        <v>80</v>
      </c>
      <c r="B81">
        <v>1037</v>
      </c>
      <c r="C81">
        <v>3</v>
      </c>
      <c r="D81">
        <v>12</v>
      </c>
      <c r="E81">
        <v>18000</v>
      </c>
    </row>
    <row r="82" spans="1:5" x14ac:dyDescent="0.35">
      <c r="A82">
        <v>81</v>
      </c>
      <c r="B82">
        <v>1037</v>
      </c>
      <c r="C82">
        <v>7</v>
      </c>
      <c r="D82">
        <v>11</v>
      </c>
      <c r="E82">
        <v>6200</v>
      </c>
    </row>
    <row r="83" spans="1:5" x14ac:dyDescent="0.35">
      <c r="A83">
        <v>82</v>
      </c>
      <c r="B83">
        <v>1037</v>
      </c>
      <c r="C83">
        <v>14</v>
      </c>
      <c r="D83">
        <v>10</v>
      </c>
      <c r="E83">
        <v>6500</v>
      </c>
    </row>
    <row r="84" spans="1:5" x14ac:dyDescent="0.35">
      <c r="A84">
        <v>83</v>
      </c>
      <c r="B84">
        <v>1078</v>
      </c>
      <c r="C84">
        <v>8</v>
      </c>
      <c r="D84">
        <v>12</v>
      </c>
      <c r="E84">
        <v>700</v>
      </c>
    </row>
    <row r="85" spans="1:5" x14ac:dyDescent="0.35">
      <c r="A85">
        <v>84</v>
      </c>
      <c r="B85">
        <v>1078</v>
      </c>
      <c r="C85">
        <v>7</v>
      </c>
      <c r="D85">
        <v>5</v>
      </c>
      <c r="E85">
        <v>6200</v>
      </c>
    </row>
    <row r="86" spans="1:5" x14ac:dyDescent="0.35">
      <c r="A86">
        <v>85</v>
      </c>
      <c r="B86">
        <v>1083</v>
      </c>
      <c r="C86">
        <v>14</v>
      </c>
      <c r="D86">
        <v>2</v>
      </c>
      <c r="E86">
        <v>6500</v>
      </c>
    </row>
    <row r="87" spans="1:5" x14ac:dyDescent="0.35">
      <c r="A87">
        <v>86</v>
      </c>
      <c r="B87">
        <v>1068</v>
      </c>
      <c r="C87">
        <v>4</v>
      </c>
      <c r="D87">
        <v>8</v>
      </c>
      <c r="E87">
        <v>28000</v>
      </c>
    </row>
    <row r="88" spans="1:5" x14ac:dyDescent="0.35">
      <c r="A88">
        <v>87</v>
      </c>
      <c r="B88">
        <v>1068</v>
      </c>
      <c r="C88">
        <v>13</v>
      </c>
      <c r="D88">
        <v>10</v>
      </c>
      <c r="E88">
        <v>9500</v>
      </c>
    </row>
    <row r="89" spans="1:5" x14ac:dyDescent="0.35">
      <c r="A89">
        <v>88</v>
      </c>
      <c r="B89">
        <v>1053</v>
      </c>
      <c r="C89">
        <v>1</v>
      </c>
      <c r="D89">
        <v>6</v>
      </c>
      <c r="E89">
        <v>52250</v>
      </c>
    </row>
    <row r="90" spans="1:5" x14ac:dyDescent="0.35">
      <c r="A90">
        <v>89</v>
      </c>
      <c r="B90">
        <v>1053</v>
      </c>
      <c r="C90">
        <v>8</v>
      </c>
      <c r="D90">
        <v>8</v>
      </c>
      <c r="E90">
        <v>665</v>
      </c>
    </row>
    <row r="91" spans="1:5" x14ac:dyDescent="0.35">
      <c r="A91">
        <v>90</v>
      </c>
      <c r="B91">
        <v>1003</v>
      </c>
      <c r="C91">
        <v>13</v>
      </c>
      <c r="D91">
        <v>6</v>
      </c>
      <c r="E91">
        <v>9500</v>
      </c>
    </row>
    <row r="92" spans="1:5" x14ac:dyDescent="0.35">
      <c r="A92">
        <v>91</v>
      </c>
      <c r="B92">
        <v>1003</v>
      </c>
      <c r="C92">
        <v>5</v>
      </c>
      <c r="D92">
        <v>10</v>
      </c>
      <c r="E92">
        <v>4500</v>
      </c>
    </row>
    <row r="93" spans="1:5" x14ac:dyDescent="0.35">
      <c r="A93">
        <v>92</v>
      </c>
      <c r="B93">
        <v>1071</v>
      </c>
      <c r="C93">
        <v>1</v>
      </c>
      <c r="D93">
        <v>2</v>
      </c>
      <c r="E93">
        <v>52250</v>
      </c>
    </row>
    <row r="94" spans="1:5" x14ac:dyDescent="0.35">
      <c r="A94">
        <v>93</v>
      </c>
      <c r="B94">
        <v>1071</v>
      </c>
      <c r="C94">
        <v>9</v>
      </c>
      <c r="D94">
        <v>12</v>
      </c>
      <c r="E94">
        <v>1500</v>
      </c>
    </row>
    <row r="95" spans="1:5" x14ac:dyDescent="0.35">
      <c r="A95">
        <v>94</v>
      </c>
      <c r="B95">
        <v>1071</v>
      </c>
      <c r="C95">
        <v>4</v>
      </c>
      <c r="D95">
        <v>8</v>
      </c>
      <c r="E95">
        <v>28000</v>
      </c>
    </row>
    <row r="96" spans="1:5" x14ac:dyDescent="0.35">
      <c r="A96">
        <v>95</v>
      </c>
      <c r="B96">
        <v>1093</v>
      </c>
      <c r="C96">
        <v>12</v>
      </c>
      <c r="D96">
        <v>8</v>
      </c>
      <c r="E96">
        <v>4800</v>
      </c>
    </row>
    <row r="97" spans="1:5" x14ac:dyDescent="0.35">
      <c r="A97">
        <v>96</v>
      </c>
      <c r="B97">
        <v>1043</v>
      </c>
      <c r="C97">
        <v>13</v>
      </c>
      <c r="D97">
        <v>2</v>
      </c>
      <c r="E97">
        <v>9500</v>
      </c>
    </row>
    <row r="98" spans="1:5" x14ac:dyDescent="0.35">
      <c r="A98">
        <v>97</v>
      </c>
      <c r="B98">
        <v>1043</v>
      </c>
      <c r="C98">
        <v>1</v>
      </c>
      <c r="D98">
        <v>4</v>
      </c>
      <c r="E98">
        <v>55000</v>
      </c>
    </row>
    <row r="99" spans="1:5" x14ac:dyDescent="0.35">
      <c r="A99">
        <v>98</v>
      </c>
      <c r="B99">
        <v>1005</v>
      </c>
      <c r="C99">
        <v>4</v>
      </c>
      <c r="D99">
        <v>10</v>
      </c>
      <c r="E99">
        <v>28000</v>
      </c>
    </row>
    <row r="100" spans="1:5" x14ac:dyDescent="0.35">
      <c r="A100">
        <v>99</v>
      </c>
      <c r="B100">
        <v>1005</v>
      </c>
      <c r="C100">
        <v>5</v>
      </c>
      <c r="D100">
        <v>8</v>
      </c>
      <c r="E100">
        <v>4500</v>
      </c>
    </row>
    <row r="101" spans="1:5" x14ac:dyDescent="0.35">
      <c r="A101">
        <v>100</v>
      </c>
      <c r="B101">
        <v>1005</v>
      </c>
      <c r="C101">
        <v>11</v>
      </c>
      <c r="D101">
        <v>9</v>
      </c>
      <c r="E101">
        <v>3200</v>
      </c>
    </row>
    <row r="102" spans="1:5" x14ac:dyDescent="0.35">
      <c r="A102">
        <v>101</v>
      </c>
      <c r="B102">
        <v>1010</v>
      </c>
      <c r="C102">
        <v>12</v>
      </c>
      <c r="D102">
        <v>6</v>
      </c>
      <c r="E102">
        <v>4800</v>
      </c>
    </row>
    <row r="103" spans="1:5" x14ac:dyDescent="0.35">
      <c r="A103">
        <v>102</v>
      </c>
      <c r="B103">
        <v>1010</v>
      </c>
      <c r="C103">
        <v>9</v>
      </c>
      <c r="D103">
        <v>12</v>
      </c>
      <c r="E103">
        <v>1500</v>
      </c>
    </row>
    <row r="104" spans="1:5" x14ac:dyDescent="0.35">
      <c r="A104">
        <v>103</v>
      </c>
      <c r="B104">
        <v>1054</v>
      </c>
      <c r="C104">
        <v>5</v>
      </c>
      <c r="D104">
        <v>4</v>
      </c>
      <c r="E104">
        <v>4050</v>
      </c>
    </row>
    <row r="105" spans="1:5" x14ac:dyDescent="0.35">
      <c r="A105">
        <v>104</v>
      </c>
      <c r="B105">
        <v>1054</v>
      </c>
      <c r="C105">
        <v>14</v>
      </c>
      <c r="D105">
        <v>12</v>
      </c>
      <c r="E105">
        <v>6175</v>
      </c>
    </row>
    <row r="106" spans="1:5" x14ac:dyDescent="0.35">
      <c r="A106">
        <v>105</v>
      </c>
      <c r="B106">
        <v>1095</v>
      </c>
      <c r="C106">
        <v>2</v>
      </c>
      <c r="D106">
        <v>9</v>
      </c>
      <c r="E106">
        <v>11400</v>
      </c>
    </row>
    <row r="107" spans="1:5" x14ac:dyDescent="0.35">
      <c r="A107">
        <v>106</v>
      </c>
      <c r="B107">
        <v>1095</v>
      </c>
      <c r="C107">
        <v>12</v>
      </c>
      <c r="D107">
        <v>4</v>
      </c>
      <c r="E107">
        <v>4560</v>
      </c>
    </row>
    <row r="108" spans="1:5" x14ac:dyDescent="0.35">
      <c r="A108">
        <v>107</v>
      </c>
      <c r="B108">
        <v>1070</v>
      </c>
      <c r="C108">
        <v>8</v>
      </c>
      <c r="D108">
        <v>10</v>
      </c>
      <c r="E108">
        <v>700</v>
      </c>
    </row>
    <row r="109" spans="1:5" x14ac:dyDescent="0.35">
      <c r="A109">
        <v>108</v>
      </c>
      <c r="B109">
        <v>1070</v>
      </c>
      <c r="C109">
        <v>5</v>
      </c>
      <c r="D109">
        <v>10</v>
      </c>
      <c r="E109">
        <v>4500</v>
      </c>
    </row>
    <row r="110" spans="1:5" x14ac:dyDescent="0.35">
      <c r="A110">
        <v>109</v>
      </c>
      <c r="B110">
        <v>1070</v>
      </c>
      <c r="C110">
        <v>12</v>
      </c>
      <c r="D110">
        <v>2</v>
      </c>
      <c r="E110">
        <v>4560</v>
      </c>
    </row>
    <row r="111" spans="1:5" x14ac:dyDescent="0.35">
      <c r="A111">
        <v>110</v>
      </c>
      <c r="B111">
        <v>1082</v>
      </c>
      <c r="C111">
        <v>4</v>
      </c>
      <c r="D111">
        <v>3</v>
      </c>
      <c r="E111">
        <v>28000</v>
      </c>
    </row>
    <row r="112" spans="1:5" x14ac:dyDescent="0.35">
      <c r="A112">
        <v>111</v>
      </c>
      <c r="B112">
        <v>1082</v>
      </c>
      <c r="C112">
        <v>6</v>
      </c>
      <c r="D112">
        <v>1</v>
      </c>
      <c r="E112">
        <v>8500</v>
      </c>
    </row>
    <row r="113" spans="1:5" x14ac:dyDescent="0.35">
      <c r="A113">
        <v>112</v>
      </c>
      <c r="B113">
        <v>1031</v>
      </c>
      <c r="C113">
        <v>5</v>
      </c>
      <c r="D113">
        <v>1</v>
      </c>
      <c r="E113">
        <v>4050</v>
      </c>
    </row>
    <row r="114" spans="1:5" x14ac:dyDescent="0.35">
      <c r="A114">
        <v>113</v>
      </c>
      <c r="B114">
        <v>1059</v>
      </c>
      <c r="C114">
        <v>5</v>
      </c>
      <c r="D114">
        <v>11</v>
      </c>
      <c r="E114">
        <v>4500</v>
      </c>
    </row>
    <row r="115" spans="1:5" x14ac:dyDescent="0.35">
      <c r="A115">
        <v>114</v>
      </c>
      <c r="B115">
        <v>1059</v>
      </c>
      <c r="C115">
        <v>12</v>
      </c>
      <c r="D115">
        <v>2</v>
      </c>
      <c r="E115">
        <v>4320</v>
      </c>
    </row>
    <row r="116" spans="1:5" x14ac:dyDescent="0.35">
      <c r="A116">
        <v>115</v>
      </c>
      <c r="B116">
        <v>1059</v>
      </c>
      <c r="C116">
        <v>3</v>
      </c>
      <c r="D116">
        <v>10</v>
      </c>
      <c r="E116">
        <v>18000</v>
      </c>
    </row>
    <row r="117" spans="1:5" x14ac:dyDescent="0.35">
      <c r="A117">
        <v>116</v>
      </c>
      <c r="B117">
        <v>1060</v>
      </c>
      <c r="C117">
        <v>8</v>
      </c>
      <c r="D117">
        <v>6</v>
      </c>
      <c r="E117">
        <v>665</v>
      </c>
    </row>
    <row r="118" spans="1:5" x14ac:dyDescent="0.35">
      <c r="A118">
        <v>117</v>
      </c>
      <c r="B118">
        <v>1060</v>
      </c>
      <c r="C118">
        <v>14</v>
      </c>
      <c r="D118">
        <v>1</v>
      </c>
      <c r="E118">
        <v>6500</v>
      </c>
    </row>
    <row r="119" spans="1:5" x14ac:dyDescent="0.35">
      <c r="A119">
        <v>118</v>
      </c>
      <c r="B119">
        <v>1075</v>
      </c>
      <c r="C119">
        <v>2</v>
      </c>
      <c r="D119">
        <v>7</v>
      </c>
      <c r="E119">
        <v>12000</v>
      </c>
    </row>
    <row r="120" spans="1:5" x14ac:dyDescent="0.35">
      <c r="A120">
        <v>119</v>
      </c>
      <c r="B120">
        <v>1075</v>
      </c>
      <c r="C120">
        <v>14</v>
      </c>
      <c r="D120">
        <v>2</v>
      </c>
      <c r="E120">
        <v>6500</v>
      </c>
    </row>
    <row r="121" spans="1:5" x14ac:dyDescent="0.35">
      <c r="A121">
        <v>120</v>
      </c>
      <c r="B121">
        <v>1040</v>
      </c>
      <c r="C121">
        <v>11</v>
      </c>
      <c r="D121">
        <v>3</v>
      </c>
      <c r="E121">
        <v>3200</v>
      </c>
    </row>
    <row r="122" spans="1:5" x14ac:dyDescent="0.35">
      <c r="A122">
        <v>121</v>
      </c>
      <c r="B122">
        <v>1040</v>
      </c>
      <c r="C122">
        <v>1</v>
      </c>
      <c r="D122">
        <v>5</v>
      </c>
      <c r="E122">
        <v>49500</v>
      </c>
    </row>
    <row r="123" spans="1:5" x14ac:dyDescent="0.35">
      <c r="A123">
        <v>122</v>
      </c>
      <c r="B123">
        <v>1040</v>
      </c>
      <c r="C123">
        <v>3</v>
      </c>
      <c r="D123">
        <v>4</v>
      </c>
      <c r="E123">
        <v>16200</v>
      </c>
    </row>
    <row r="124" spans="1:5" x14ac:dyDescent="0.35">
      <c r="A124">
        <v>123</v>
      </c>
      <c r="B124">
        <v>1017</v>
      </c>
      <c r="C124">
        <v>13</v>
      </c>
      <c r="D124">
        <v>10</v>
      </c>
      <c r="E124">
        <v>9500</v>
      </c>
    </row>
    <row r="125" spans="1:5" x14ac:dyDescent="0.35">
      <c r="A125">
        <v>124</v>
      </c>
      <c r="B125">
        <v>1017</v>
      </c>
      <c r="C125">
        <v>7</v>
      </c>
      <c r="D125">
        <v>4</v>
      </c>
      <c r="E125">
        <v>6200</v>
      </c>
    </row>
    <row r="126" spans="1:5" x14ac:dyDescent="0.35">
      <c r="A126">
        <v>125</v>
      </c>
      <c r="B126">
        <v>1017</v>
      </c>
      <c r="C126">
        <v>10</v>
      </c>
      <c r="D126">
        <v>7</v>
      </c>
      <c r="E126">
        <v>2200</v>
      </c>
    </row>
    <row r="127" spans="1:5" x14ac:dyDescent="0.35">
      <c r="A127">
        <v>126</v>
      </c>
      <c r="B127">
        <v>1029</v>
      </c>
      <c r="C127">
        <v>5</v>
      </c>
      <c r="D127">
        <v>7</v>
      </c>
      <c r="E127">
        <v>4500</v>
      </c>
    </row>
    <row r="128" spans="1:5" x14ac:dyDescent="0.35">
      <c r="A128">
        <v>127</v>
      </c>
      <c r="B128">
        <v>1029</v>
      </c>
      <c r="C128">
        <v>10</v>
      </c>
      <c r="D128">
        <v>10</v>
      </c>
      <c r="E128">
        <v>2200</v>
      </c>
    </row>
    <row r="129" spans="1:5" x14ac:dyDescent="0.35">
      <c r="A129">
        <v>128</v>
      </c>
      <c r="B129">
        <v>1069</v>
      </c>
      <c r="C129">
        <v>10</v>
      </c>
      <c r="D129">
        <v>12</v>
      </c>
      <c r="E129">
        <v>1980</v>
      </c>
    </row>
    <row r="130" spans="1:5" x14ac:dyDescent="0.35">
      <c r="A130">
        <v>129</v>
      </c>
      <c r="B130">
        <v>1094</v>
      </c>
      <c r="C130">
        <v>11</v>
      </c>
      <c r="D130">
        <v>4</v>
      </c>
      <c r="E130">
        <v>3200</v>
      </c>
    </row>
    <row r="131" spans="1:5" x14ac:dyDescent="0.35">
      <c r="A131">
        <v>130</v>
      </c>
      <c r="B131">
        <v>1002</v>
      </c>
      <c r="C131">
        <v>2</v>
      </c>
      <c r="D131">
        <v>3</v>
      </c>
      <c r="E131">
        <v>12000</v>
      </c>
    </row>
    <row r="132" spans="1:5" x14ac:dyDescent="0.35">
      <c r="A132">
        <v>131</v>
      </c>
      <c r="B132">
        <v>1002</v>
      </c>
      <c r="C132">
        <v>3</v>
      </c>
      <c r="D132">
        <v>2</v>
      </c>
      <c r="E132">
        <v>17100</v>
      </c>
    </row>
    <row r="133" spans="1:5" x14ac:dyDescent="0.35">
      <c r="A133">
        <v>132</v>
      </c>
      <c r="B133">
        <v>1002</v>
      </c>
      <c r="C133">
        <v>4</v>
      </c>
      <c r="D133">
        <v>1</v>
      </c>
      <c r="E133">
        <v>28000</v>
      </c>
    </row>
    <row r="134" spans="1:5" x14ac:dyDescent="0.35">
      <c r="A134">
        <v>133</v>
      </c>
      <c r="B134">
        <v>1041</v>
      </c>
      <c r="C134">
        <v>12</v>
      </c>
      <c r="D134">
        <v>8</v>
      </c>
      <c r="E134">
        <v>4800</v>
      </c>
    </row>
    <row r="135" spans="1:5" x14ac:dyDescent="0.35">
      <c r="A135">
        <v>134</v>
      </c>
      <c r="B135">
        <v>1041</v>
      </c>
      <c r="C135">
        <v>10</v>
      </c>
      <c r="D135">
        <v>1</v>
      </c>
      <c r="E135">
        <v>2090</v>
      </c>
    </row>
    <row r="136" spans="1:5" x14ac:dyDescent="0.35">
      <c r="A136">
        <v>135</v>
      </c>
      <c r="B136">
        <v>1086</v>
      </c>
      <c r="C136">
        <v>12</v>
      </c>
      <c r="D136">
        <v>12</v>
      </c>
      <c r="E136">
        <v>4800</v>
      </c>
    </row>
    <row r="137" spans="1:5" x14ac:dyDescent="0.35">
      <c r="A137">
        <v>136</v>
      </c>
      <c r="B137">
        <v>1086</v>
      </c>
      <c r="C137">
        <v>5</v>
      </c>
      <c r="D137">
        <v>2</v>
      </c>
      <c r="E137">
        <v>4275</v>
      </c>
    </row>
    <row r="138" spans="1:5" x14ac:dyDescent="0.35">
      <c r="A138">
        <v>137</v>
      </c>
      <c r="B138">
        <v>1027</v>
      </c>
      <c r="C138">
        <v>13</v>
      </c>
      <c r="D138">
        <v>11</v>
      </c>
      <c r="E138">
        <v>9500</v>
      </c>
    </row>
    <row r="139" spans="1:5" x14ac:dyDescent="0.35">
      <c r="A139">
        <v>138</v>
      </c>
      <c r="B139">
        <v>1027</v>
      </c>
      <c r="C139">
        <v>14</v>
      </c>
      <c r="D139">
        <v>11</v>
      </c>
      <c r="E139">
        <v>6175</v>
      </c>
    </row>
    <row r="140" spans="1:5" x14ac:dyDescent="0.35">
      <c r="A140">
        <v>139</v>
      </c>
      <c r="B140">
        <v>1014</v>
      </c>
      <c r="C140">
        <v>2</v>
      </c>
      <c r="D140">
        <v>4</v>
      </c>
      <c r="E140">
        <v>11400</v>
      </c>
    </row>
    <row r="141" spans="1:5" x14ac:dyDescent="0.35">
      <c r="A141">
        <v>140</v>
      </c>
      <c r="B141">
        <v>1014</v>
      </c>
      <c r="C141">
        <v>9</v>
      </c>
      <c r="D141">
        <v>5</v>
      </c>
      <c r="E141">
        <v>1425</v>
      </c>
    </row>
    <row r="142" spans="1:5" x14ac:dyDescent="0.35">
      <c r="A142">
        <v>141</v>
      </c>
      <c r="B142">
        <v>1038</v>
      </c>
      <c r="C142">
        <v>1</v>
      </c>
      <c r="D142">
        <v>3</v>
      </c>
      <c r="E142">
        <v>55000</v>
      </c>
    </row>
    <row r="143" spans="1:5" x14ac:dyDescent="0.35">
      <c r="A143">
        <v>142</v>
      </c>
      <c r="B143">
        <v>1012</v>
      </c>
      <c r="C143">
        <v>12</v>
      </c>
      <c r="D143">
        <v>8</v>
      </c>
      <c r="E143">
        <v>4320</v>
      </c>
    </row>
    <row r="144" spans="1:5" x14ac:dyDescent="0.35">
      <c r="A144">
        <v>143</v>
      </c>
      <c r="B144">
        <v>1012</v>
      </c>
      <c r="C144">
        <v>10</v>
      </c>
      <c r="D144">
        <v>8</v>
      </c>
      <c r="E144">
        <v>2200</v>
      </c>
    </row>
    <row r="145" spans="1:5" x14ac:dyDescent="0.35">
      <c r="A145">
        <v>144</v>
      </c>
      <c r="B145">
        <v>1012</v>
      </c>
      <c r="C145">
        <v>5</v>
      </c>
      <c r="D145">
        <v>12</v>
      </c>
      <c r="E145">
        <v>4500</v>
      </c>
    </row>
    <row r="146" spans="1:5" x14ac:dyDescent="0.35">
      <c r="A146">
        <v>145</v>
      </c>
      <c r="B146">
        <v>1046</v>
      </c>
      <c r="C146">
        <v>9</v>
      </c>
      <c r="D146">
        <v>8</v>
      </c>
      <c r="E146">
        <v>1500</v>
      </c>
    </row>
    <row r="147" spans="1:5" x14ac:dyDescent="0.35">
      <c r="A147">
        <v>146</v>
      </c>
      <c r="B147">
        <v>1046</v>
      </c>
      <c r="C147">
        <v>14</v>
      </c>
      <c r="D147">
        <v>2</v>
      </c>
      <c r="E147">
        <v>6500</v>
      </c>
    </row>
    <row r="148" spans="1:5" x14ac:dyDescent="0.35">
      <c r="A148">
        <v>147</v>
      </c>
      <c r="B148">
        <v>1004</v>
      </c>
      <c r="C148">
        <v>7</v>
      </c>
      <c r="D148">
        <v>12</v>
      </c>
      <c r="E148">
        <v>6200</v>
      </c>
    </row>
    <row r="149" spans="1:5" x14ac:dyDescent="0.35">
      <c r="A149">
        <v>148</v>
      </c>
      <c r="B149">
        <v>1047</v>
      </c>
      <c r="C149">
        <v>5</v>
      </c>
      <c r="D149">
        <v>4</v>
      </c>
      <c r="E149">
        <v>4500</v>
      </c>
    </row>
    <row r="150" spans="1:5" x14ac:dyDescent="0.35">
      <c r="A150">
        <v>149</v>
      </c>
      <c r="B150">
        <v>1047</v>
      </c>
      <c r="C150">
        <v>1</v>
      </c>
      <c r="D150">
        <v>10</v>
      </c>
      <c r="E150">
        <v>49500</v>
      </c>
    </row>
    <row r="151" spans="1:5" x14ac:dyDescent="0.35">
      <c r="A151">
        <v>150</v>
      </c>
      <c r="B151">
        <v>1047</v>
      </c>
      <c r="C151">
        <v>2</v>
      </c>
      <c r="D151">
        <v>11</v>
      </c>
      <c r="E151">
        <v>12000</v>
      </c>
    </row>
    <row r="152" spans="1:5" x14ac:dyDescent="0.35">
      <c r="A152">
        <v>151</v>
      </c>
      <c r="B152">
        <v>1090</v>
      </c>
      <c r="C152">
        <v>1</v>
      </c>
      <c r="D152">
        <v>8</v>
      </c>
      <c r="E152">
        <v>55000</v>
      </c>
    </row>
    <row r="153" spans="1:5" x14ac:dyDescent="0.35">
      <c r="A153">
        <v>152</v>
      </c>
      <c r="B153">
        <v>1090</v>
      </c>
      <c r="C153">
        <v>13</v>
      </c>
      <c r="D153">
        <v>11</v>
      </c>
      <c r="E153">
        <v>9500</v>
      </c>
    </row>
    <row r="154" spans="1:5" x14ac:dyDescent="0.35">
      <c r="A154">
        <v>153</v>
      </c>
      <c r="B154">
        <v>1090</v>
      </c>
      <c r="C154">
        <v>3</v>
      </c>
      <c r="D154">
        <v>5</v>
      </c>
      <c r="E154">
        <v>17100</v>
      </c>
    </row>
    <row r="155" spans="1:5" x14ac:dyDescent="0.35">
      <c r="A155">
        <v>154</v>
      </c>
      <c r="B155">
        <v>1096</v>
      </c>
      <c r="C155">
        <v>7</v>
      </c>
      <c r="D155">
        <v>2</v>
      </c>
      <c r="E155">
        <v>6200</v>
      </c>
    </row>
    <row r="156" spans="1:5" x14ac:dyDescent="0.35">
      <c r="A156">
        <v>155</v>
      </c>
      <c r="B156">
        <v>1096</v>
      </c>
      <c r="C156">
        <v>11</v>
      </c>
      <c r="D156">
        <v>6</v>
      </c>
      <c r="E156">
        <v>3200</v>
      </c>
    </row>
    <row r="157" spans="1:5" x14ac:dyDescent="0.35">
      <c r="A157">
        <v>156</v>
      </c>
      <c r="B157">
        <v>1096</v>
      </c>
      <c r="C157">
        <v>8</v>
      </c>
      <c r="D157">
        <v>6</v>
      </c>
      <c r="E157">
        <v>700</v>
      </c>
    </row>
    <row r="158" spans="1:5" x14ac:dyDescent="0.35">
      <c r="A158">
        <v>157</v>
      </c>
      <c r="B158">
        <v>1018</v>
      </c>
      <c r="C158">
        <v>2</v>
      </c>
      <c r="D158">
        <v>7</v>
      </c>
      <c r="E158">
        <v>12000</v>
      </c>
    </row>
    <row r="159" spans="1:5" x14ac:dyDescent="0.35">
      <c r="A159">
        <v>158</v>
      </c>
      <c r="B159">
        <v>1018</v>
      </c>
      <c r="C159">
        <v>3</v>
      </c>
      <c r="D159">
        <v>5</v>
      </c>
      <c r="E159">
        <v>18000</v>
      </c>
    </row>
    <row r="160" spans="1:5" x14ac:dyDescent="0.35">
      <c r="A160">
        <v>159</v>
      </c>
      <c r="B160">
        <v>1018</v>
      </c>
      <c r="C160">
        <v>6</v>
      </c>
      <c r="D160">
        <v>9</v>
      </c>
      <c r="E160">
        <v>7650</v>
      </c>
    </row>
    <row r="161" spans="1:5" x14ac:dyDescent="0.35">
      <c r="A161">
        <v>160</v>
      </c>
      <c r="B161">
        <v>1013</v>
      </c>
      <c r="C161">
        <v>2</v>
      </c>
      <c r="D161">
        <v>5</v>
      </c>
      <c r="E161">
        <v>12000</v>
      </c>
    </row>
    <row r="162" spans="1:5" x14ac:dyDescent="0.35">
      <c r="A162">
        <v>161</v>
      </c>
      <c r="B162">
        <v>1013</v>
      </c>
      <c r="C162">
        <v>6</v>
      </c>
      <c r="D162">
        <v>2</v>
      </c>
      <c r="E162">
        <v>8500</v>
      </c>
    </row>
    <row r="163" spans="1:5" x14ac:dyDescent="0.35">
      <c r="A163">
        <v>162</v>
      </c>
      <c r="B163">
        <v>1091</v>
      </c>
      <c r="C163">
        <v>14</v>
      </c>
      <c r="D163">
        <v>9</v>
      </c>
      <c r="E163">
        <v>6500</v>
      </c>
    </row>
    <row r="164" spans="1:5" x14ac:dyDescent="0.35">
      <c r="A164">
        <v>163</v>
      </c>
      <c r="B164">
        <v>1091</v>
      </c>
      <c r="C164">
        <v>1</v>
      </c>
      <c r="D164">
        <v>7</v>
      </c>
      <c r="E164">
        <v>49500</v>
      </c>
    </row>
    <row r="165" spans="1:5" x14ac:dyDescent="0.35">
      <c r="A165">
        <v>164</v>
      </c>
      <c r="B165">
        <v>1091</v>
      </c>
      <c r="C165">
        <v>11</v>
      </c>
      <c r="D165">
        <v>4</v>
      </c>
      <c r="E165">
        <v>3200</v>
      </c>
    </row>
    <row r="166" spans="1:5" x14ac:dyDescent="0.35">
      <c r="A166">
        <v>165</v>
      </c>
      <c r="B166">
        <v>1099</v>
      </c>
      <c r="C166">
        <v>10</v>
      </c>
      <c r="D166">
        <v>8</v>
      </c>
      <c r="E166">
        <v>2200</v>
      </c>
    </row>
    <row r="167" spans="1:5" x14ac:dyDescent="0.35">
      <c r="A167">
        <v>166</v>
      </c>
      <c r="B167">
        <v>1099</v>
      </c>
      <c r="C167">
        <v>13</v>
      </c>
      <c r="D167">
        <v>1</v>
      </c>
      <c r="E167">
        <v>9025</v>
      </c>
    </row>
    <row r="168" spans="1:5" x14ac:dyDescent="0.35">
      <c r="A168">
        <v>167</v>
      </c>
      <c r="B168">
        <v>1007</v>
      </c>
      <c r="C168">
        <v>9</v>
      </c>
      <c r="D168">
        <v>5</v>
      </c>
      <c r="E168">
        <v>1500</v>
      </c>
    </row>
    <row r="169" spans="1:5" x14ac:dyDescent="0.35">
      <c r="A169">
        <v>168</v>
      </c>
      <c r="B169">
        <v>1007</v>
      </c>
      <c r="C169">
        <v>3</v>
      </c>
      <c r="D169">
        <v>12</v>
      </c>
      <c r="E169">
        <v>18000</v>
      </c>
    </row>
    <row r="170" spans="1:5" x14ac:dyDescent="0.35">
      <c r="A170">
        <v>169</v>
      </c>
      <c r="B170">
        <v>1016</v>
      </c>
      <c r="C170">
        <v>1</v>
      </c>
      <c r="D170">
        <v>11</v>
      </c>
      <c r="E170">
        <v>55000</v>
      </c>
    </row>
    <row r="171" spans="1:5" x14ac:dyDescent="0.35">
      <c r="A171">
        <v>170</v>
      </c>
      <c r="B171">
        <v>1036</v>
      </c>
      <c r="C171">
        <v>12</v>
      </c>
      <c r="D171">
        <v>3</v>
      </c>
      <c r="E171">
        <v>4800</v>
      </c>
    </row>
    <row r="172" spans="1:5" x14ac:dyDescent="0.35">
      <c r="A172">
        <v>171</v>
      </c>
      <c r="B172">
        <v>1061</v>
      </c>
      <c r="C172">
        <v>1</v>
      </c>
      <c r="D172">
        <v>2</v>
      </c>
      <c r="E172">
        <v>52250</v>
      </c>
    </row>
    <row r="173" spans="1:5" x14ac:dyDescent="0.35">
      <c r="A173">
        <v>172</v>
      </c>
      <c r="B173">
        <v>1061</v>
      </c>
      <c r="C173">
        <v>9</v>
      </c>
      <c r="D173">
        <v>2</v>
      </c>
      <c r="E173">
        <v>1500</v>
      </c>
    </row>
    <row r="174" spans="1:5" x14ac:dyDescent="0.35">
      <c r="A174">
        <v>173</v>
      </c>
      <c r="B174">
        <v>1061</v>
      </c>
      <c r="C174">
        <v>7</v>
      </c>
      <c r="D174">
        <v>2</v>
      </c>
      <c r="E174">
        <v>5890</v>
      </c>
    </row>
    <row r="175" spans="1:5" x14ac:dyDescent="0.35">
      <c r="A175">
        <v>174</v>
      </c>
      <c r="B175">
        <v>1035</v>
      </c>
      <c r="C175">
        <v>12</v>
      </c>
      <c r="D175">
        <v>9</v>
      </c>
      <c r="E175">
        <v>4800</v>
      </c>
    </row>
    <row r="176" spans="1:5" x14ac:dyDescent="0.35">
      <c r="A176">
        <v>175</v>
      </c>
      <c r="B176">
        <v>1035</v>
      </c>
      <c r="C176">
        <v>5</v>
      </c>
      <c r="D176">
        <v>7</v>
      </c>
      <c r="E176">
        <v>4500</v>
      </c>
    </row>
    <row r="177" spans="1:5" x14ac:dyDescent="0.35">
      <c r="A177">
        <v>176</v>
      </c>
      <c r="B177">
        <v>1072</v>
      </c>
      <c r="C177">
        <v>4</v>
      </c>
      <c r="D177">
        <v>9</v>
      </c>
      <c r="E177">
        <v>26600</v>
      </c>
    </row>
    <row r="178" spans="1:5" x14ac:dyDescent="0.35">
      <c r="A178">
        <v>177</v>
      </c>
      <c r="B178">
        <v>1072</v>
      </c>
      <c r="C178">
        <v>8</v>
      </c>
      <c r="D178">
        <v>7</v>
      </c>
      <c r="E178">
        <v>665</v>
      </c>
    </row>
    <row r="179" spans="1:5" x14ac:dyDescent="0.35">
      <c r="A179">
        <v>178</v>
      </c>
      <c r="B179">
        <v>1063</v>
      </c>
      <c r="C179">
        <v>9</v>
      </c>
      <c r="D179">
        <v>2</v>
      </c>
      <c r="E179">
        <v>1500</v>
      </c>
    </row>
    <row r="180" spans="1:5" x14ac:dyDescent="0.35">
      <c r="A180">
        <v>179</v>
      </c>
      <c r="B180">
        <v>1063</v>
      </c>
      <c r="C180">
        <v>12</v>
      </c>
      <c r="D180">
        <v>7</v>
      </c>
      <c r="E180">
        <v>4800</v>
      </c>
    </row>
    <row r="181" spans="1:5" x14ac:dyDescent="0.35">
      <c r="A181">
        <v>180</v>
      </c>
      <c r="B181">
        <v>1063</v>
      </c>
      <c r="C181">
        <v>3</v>
      </c>
      <c r="D181">
        <v>9</v>
      </c>
      <c r="E181">
        <v>18000</v>
      </c>
    </row>
    <row r="182" spans="1:5" x14ac:dyDescent="0.35">
      <c r="A182">
        <v>181</v>
      </c>
      <c r="B182">
        <v>1042</v>
      </c>
      <c r="C182">
        <v>5</v>
      </c>
      <c r="D182">
        <v>12</v>
      </c>
      <c r="E182">
        <v>4500</v>
      </c>
    </row>
    <row r="183" spans="1:5" x14ac:dyDescent="0.35">
      <c r="A183">
        <v>182</v>
      </c>
      <c r="B183">
        <v>1079</v>
      </c>
      <c r="C183">
        <v>10</v>
      </c>
      <c r="D183">
        <v>3</v>
      </c>
      <c r="E183">
        <v>2200</v>
      </c>
    </row>
    <row r="184" spans="1:5" x14ac:dyDescent="0.35">
      <c r="A184">
        <v>183</v>
      </c>
      <c r="B184">
        <v>1079</v>
      </c>
      <c r="C184">
        <v>11</v>
      </c>
      <c r="D184">
        <v>9</v>
      </c>
      <c r="E184">
        <v>3200</v>
      </c>
    </row>
    <row r="185" spans="1:5" x14ac:dyDescent="0.35">
      <c r="A185">
        <v>184</v>
      </c>
      <c r="B185">
        <v>1079</v>
      </c>
      <c r="C185">
        <v>8</v>
      </c>
      <c r="D185">
        <v>6</v>
      </c>
      <c r="E185">
        <v>700</v>
      </c>
    </row>
    <row r="186" spans="1:5" x14ac:dyDescent="0.35">
      <c r="A186">
        <v>185</v>
      </c>
      <c r="B186">
        <v>1057</v>
      </c>
      <c r="C186">
        <v>13</v>
      </c>
      <c r="D186">
        <v>8</v>
      </c>
      <c r="E186">
        <v>9500</v>
      </c>
    </row>
    <row r="187" spans="1:5" x14ac:dyDescent="0.35">
      <c r="A187">
        <v>186</v>
      </c>
      <c r="B187">
        <v>1057</v>
      </c>
      <c r="C187">
        <v>9</v>
      </c>
      <c r="D187">
        <v>4</v>
      </c>
      <c r="E187">
        <v>1425</v>
      </c>
    </row>
    <row r="188" spans="1:5" x14ac:dyDescent="0.35">
      <c r="A188">
        <v>187</v>
      </c>
      <c r="B188">
        <v>1057</v>
      </c>
      <c r="C188">
        <v>7</v>
      </c>
      <c r="D188">
        <v>10</v>
      </c>
      <c r="E188">
        <v>6200</v>
      </c>
    </row>
    <row r="189" spans="1:5" x14ac:dyDescent="0.35">
      <c r="A189">
        <v>188</v>
      </c>
      <c r="B189">
        <v>1011</v>
      </c>
      <c r="C189">
        <v>14</v>
      </c>
      <c r="D189">
        <v>7</v>
      </c>
      <c r="E189">
        <v>5850</v>
      </c>
    </row>
    <row r="190" spans="1:5" x14ac:dyDescent="0.35">
      <c r="A190">
        <v>189</v>
      </c>
      <c r="B190">
        <v>1050</v>
      </c>
      <c r="C190">
        <v>12</v>
      </c>
      <c r="D190">
        <v>12</v>
      </c>
      <c r="E190">
        <v>4800</v>
      </c>
    </row>
    <row r="191" spans="1:5" x14ac:dyDescent="0.35">
      <c r="A191">
        <v>190</v>
      </c>
      <c r="B191">
        <v>1050</v>
      </c>
      <c r="C191">
        <v>8</v>
      </c>
      <c r="D191">
        <v>7</v>
      </c>
      <c r="E191">
        <v>665</v>
      </c>
    </row>
    <row r="192" spans="1:5" x14ac:dyDescent="0.35">
      <c r="A192">
        <v>191</v>
      </c>
      <c r="B192">
        <v>1026</v>
      </c>
      <c r="C192">
        <v>1</v>
      </c>
      <c r="D192">
        <v>9</v>
      </c>
      <c r="E192">
        <v>55000</v>
      </c>
    </row>
    <row r="193" spans="1:5" x14ac:dyDescent="0.35">
      <c r="A193">
        <v>192</v>
      </c>
      <c r="B193">
        <v>1026</v>
      </c>
      <c r="C193">
        <v>3</v>
      </c>
      <c r="D193">
        <v>6</v>
      </c>
      <c r="E193">
        <v>16200</v>
      </c>
    </row>
    <row r="194" spans="1:5" x14ac:dyDescent="0.35">
      <c r="A194">
        <v>193</v>
      </c>
      <c r="B194">
        <v>1097</v>
      </c>
      <c r="C194">
        <v>2</v>
      </c>
      <c r="D194">
        <v>8</v>
      </c>
      <c r="E194">
        <v>10800</v>
      </c>
    </row>
    <row r="195" spans="1:5" x14ac:dyDescent="0.35">
      <c r="A195">
        <v>194</v>
      </c>
      <c r="B195">
        <v>1097</v>
      </c>
      <c r="C195">
        <v>9</v>
      </c>
      <c r="D195">
        <v>12</v>
      </c>
      <c r="E195">
        <v>1425</v>
      </c>
    </row>
    <row r="196" spans="1:5" x14ac:dyDescent="0.35">
      <c r="A196">
        <v>195</v>
      </c>
      <c r="B196">
        <v>1044</v>
      </c>
      <c r="C196">
        <v>14</v>
      </c>
      <c r="D196">
        <v>3</v>
      </c>
      <c r="E196">
        <v>5850</v>
      </c>
    </row>
    <row r="197" spans="1:5" x14ac:dyDescent="0.35">
      <c r="A197">
        <v>196</v>
      </c>
      <c r="B197">
        <v>1044</v>
      </c>
      <c r="C197">
        <v>11</v>
      </c>
      <c r="D197">
        <v>8</v>
      </c>
      <c r="E197">
        <v>3200</v>
      </c>
    </row>
    <row r="198" spans="1:5" x14ac:dyDescent="0.35">
      <c r="A198">
        <v>197</v>
      </c>
      <c r="B198">
        <v>1052</v>
      </c>
      <c r="C198">
        <v>10</v>
      </c>
      <c r="D198">
        <v>7</v>
      </c>
      <c r="E198">
        <v>1980</v>
      </c>
    </row>
    <row r="199" spans="1:5" x14ac:dyDescent="0.35">
      <c r="A199">
        <v>198</v>
      </c>
      <c r="B199">
        <v>1052</v>
      </c>
      <c r="C199">
        <v>12</v>
      </c>
      <c r="D199">
        <v>6</v>
      </c>
      <c r="E199">
        <v>4800</v>
      </c>
    </row>
    <row r="200" spans="1:5" x14ac:dyDescent="0.35">
      <c r="A200">
        <v>199</v>
      </c>
      <c r="B200">
        <v>1020</v>
      </c>
      <c r="C200">
        <v>6</v>
      </c>
      <c r="D200">
        <v>12</v>
      </c>
      <c r="E200">
        <v>8500</v>
      </c>
    </row>
    <row r="201" spans="1:5" x14ac:dyDescent="0.35">
      <c r="A201">
        <v>200</v>
      </c>
      <c r="B201">
        <v>1020</v>
      </c>
      <c r="C201">
        <v>11</v>
      </c>
      <c r="D201">
        <v>9</v>
      </c>
      <c r="E201">
        <v>2880</v>
      </c>
    </row>
    <row r="202" spans="1:5" x14ac:dyDescent="0.35">
      <c r="A202">
        <v>201</v>
      </c>
      <c r="B202">
        <v>1008</v>
      </c>
      <c r="C202">
        <v>2</v>
      </c>
      <c r="D202">
        <v>11</v>
      </c>
      <c r="E202">
        <v>12000</v>
      </c>
    </row>
    <row r="203" spans="1:5" x14ac:dyDescent="0.35">
      <c r="A203">
        <v>202</v>
      </c>
      <c r="B203">
        <v>1008</v>
      </c>
      <c r="C203">
        <v>4</v>
      </c>
      <c r="D203">
        <v>4</v>
      </c>
      <c r="E203">
        <v>25200</v>
      </c>
    </row>
    <row r="204" spans="1:5" x14ac:dyDescent="0.35">
      <c r="A204">
        <v>203</v>
      </c>
      <c r="B204">
        <v>1008</v>
      </c>
      <c r="C204">
        <v>11</v>
      </c>
      <c r="D204">
        <v>7</v>
      </c>
      <c r="E204">
        <v>2880</v>
      </c>
    </row>
    <row r="205" spans="1:5" x14ac:dyDescent="0.35">
      <c r="A205">
        <v>204</v>
      </c>
      <c r="B205">
        <v>1066</v>
      </c>
      <c r="C205">
        <v>12</v>
      </c>
      <c r="D205">
        <v>3</v>
      </c>
      <c r="E205">
        <v>4800</v>
      </c>
    </row>
    <row r="206" spans="1:5" x14ac:dyDescent="0.35">
      <c r="A206">
        <v>205</v>
      </c>
      <c r="B206">
        <v>1066</v>
      </c>
      <c r="C206">
        <v>2</v>
      </c>
      <c r="D206">
        <v>1</v>
      </c>
      <c r="E206">
        <v>10800</v>
      </c>
    </row>
    <row r="207" spans="1:5" x14ac:dyDescent="0.35">
      <c r="A207">
        <v>206</v>
      </c>
      <c r="B207">
        <v>1066</v>
      </c>
      <c r="C207">
        <v>8</v>
      </c>
      <c r="D207">
        <v>6</v>
      </c>
      <c r="E207">
        <v>630</v>
      </c>
    </row>
    <row r="208" spans="1:5" x14ac:dyDescent="0.35">
      <c r="A208">
        <v>207</v>
      </c>
      <c r="B208">
        <v>1015</v>
      </c>
      <c r="C208">
        <v>6</v>
      </c>
      <c r="D208">
        <v>7</v>
      </c>
      <c r="E208">
        <v>8075</v>
      </c>
    </row>
    <row r="209" spans="1:5" x14ac:dyDescent="0.35">
      <c r="A209">
        <v>208</v>
      </c>
      <c r="B209">
        <v>1015</v>
      </c>
      <c r="C209">
        <v>14</v>
      </c>
      <c r="D209">
        <v>4</v>
      </c>
      <c r="E209">
        <v>6500</v>
      </c>
    </row>
    <row r="210" spans="1:5" x14ac:dyDescent="0.35">
      <c r="A210">
        <v>209</v>
      </c>
      <c r="B210">
        <v>1062</v>
      </c>
      <c r="C210">
        <v>10</v>
      </c>
      <c r="D210">
        <v>3</v>
      </c>
      <c r="E210">
        <v>2090</v>
      </c>
    </row>
    <row r="211" spans="1:5" x14ac:dyDescent="0.35">
      <c r="A211">
        <v>210</v>
      </c>
      <c r="B211">
        <v>1062</v>
      </c>
      <c r="C211">
        <v>11</v>
      </c>
      <c r="D211">
        <v>3</v>
      </c>
      <c r="E211">
        <v>2880</v>
      </c>
    </row>
    <row r="212" spans="1:5" x14ac:dyDescent="0.35">
      <c r="A212">
        <v>211</v>
      </c>
      <c r="B212">
        <v>1074</v>
      </c>
      <c r="C212">
        <v>14</v>
      </c>
      <c r="D212">
        <v>11</v>
      </c>
      <c r="E212">
        <v>6175</v>
      </c>
    </row>
    <row r="213" spans="1:5" x14ac:dyDescent="0.35">
      <c r="A213">
        <v>212</v>
      </c>
      <c r="B213">
        <v>1074</v>
      </c>
      <c r="C213">
        <v>7</v>
      </c>
      <c r="D213">
        <v>8</v>
      </c>
      <c r="E213">
        <v>6200</v>
      </c>
    </row>
    <row r="214" spans="1:5" x14ac:dyDescent="0.35">
      <c r="A214">
        <v>213</v>
      </c>
      <c r="B214">
        <v>1074</v>
      </c>
      <c r="C214">
        <v>10</v>
      </c>
      <c r="D214">
        <v>3</v>
      </c>
      <c r="E214">
        <v>2090</v>
      </c>
    </row>
    <row r="215" spans="1:5" x14ac:dyDescent="0.35">
      <c r="A215">
        <v>214</v>
      </c>
      <c r="B215">
        <v>1084</v>
      </c>
      <c r="C215">
        <v>11</v>
      </c>
      <c r="D215">
        <v>8</v>
      </c>
      <c r="E215">
        <v>3200</v>
      </c>
    </row>
    <row r="216" spans="1:5" x14ac:dyDescent="0.35">
      <c r="A216">
        <v>215</v>
      </c>
      <c r="B216">
        <v>1084</v>
      </c>
      <c r="C216">
        <v>5</v>
      </c>
      <c r="D216">
        <v>11</v>
      </c>
      <c r="E216">
        <v>4050</v>
      </c>
    </row>
    <row r="217" spans="1:5" x14ac:dyDescent="0.35">
      <c r="A217">
        <v>216</v>
      </c>
      <c r="B217">
        <v>1098</v>
      </c>
      <c r="C217">
        <v>5</v>
      </c>
      <c r="D217">
        <v>9</v>
      </c>
      <c r="E217">
        <v>4275</v>
      </c>
    </row>
    <row r="218" spans="1:5" x14ac:dyDescent="0.35">
      <c r="A218">
        <v>217</v>
      </c>
      <c r="B218">
        <v>1098</v>
      </c>
      <c r="C218">
        <v>11</v>
      </c>
      <c r="D218">
        <v>2</v>
      </c>
      <c r="E218">
        <v>3200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35EE-9995-48DF-B4F8-4F27C0F356C3}">
  <dimension ref="A1:H16"/>
  <sheetViews>
    <sheetView workbookViewId="0">
      <selection activeCell="J9" sqref="J9"/>
    </sheetView>
  </sheetViews>
  <sheetFormatPr defaultRowHeight="14.5" x14ac:dyDescent="0.35"/>
  <cols>
    <col min="1" max="1" width="8.7265625" bestFit="1" customWidth="1"/>
    <col min="2" max="2" width="15.6328125" bestFit="1" customWidth="1"/>
    <col min="4" max="4" width="8.7265625" bestFit="1" customWidth="1"/>
    <col min="5" max="5" width="13.1796875" bestFit="1" customWidth="1"/>
    <col min="7" max="7" width="8.7265625" bestFit="1" customWidth="1"/>
    <col min="8" max="8" width="15.81640625" bestFit="1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14" t="s">
        <v>37</v>
      </c>
      <c r="B2" t="s">
        <v>110</v>
      </c>
      <c r="D2" s="14" t="s">
        <v>37</v>
      </c>
      <c r="E2" t="s">
        <v>111</v>
      </c>
      <c r="G2" s="14" t="s">
        <v>37</v>
      </c>
      <c r="H2" t="s">
        <v>112</v>
      </c>
    </row>
    <row r="3" spans="1:8" x14ac:dyDescent="0.35">
      <c r="A3" s="15" t="s">
        <v>46</v>
      </c>
      <c r="B3" s="3">
        <v>2566865</v>
      </c>
      <c r="D3" s="15" t="s">
        <v>46</v>
      </c>
      <c r="E3" s="4">
        <v>498365</v>
      </c>
      <c r="G3" s="15" t="s">
        <v>46</v>
      </c>
      <c r="H3" s="1">
        <v>285</v>
      </c>
    </row>
    <row r="4" spans="1:8" x14ac:dyDescent="0.35">
      <c r="A4" s="15" t="s">
        <v>65</v>
      </c>
      <c r="B4" s="3">
        <v>2849130</v>
      </c>
      <c r="D4" s="15" t="s">
        <v>65</v>
      </c>
      <c r="E4" s="4">
        <v>454130</v>
      </c>
      <c r="G4" s="15" t="s">
        <v>65</v>
      </c>
      <c r="H4" s="1">
        <v>220</v>
      </c>
    </row>
    <row r="5" spans="1:8" x14ac:dyDescent="0.35">
      <c r="A5" s="15" t="s">
        <v>43</v>
      </c>
      <c r="B5" s="3">
        <v>3351635</v>
      </c>
      <c r="D5" s="15" t="s">
        <v>43</v>
      </c>
      <c r="E5" s="4">
        <v>684435</v>
      </c>
      <c r="G5" s="15" t="s">
        <v>43</v>
      </c>
      <c r="H5" s="1">
        <v>357</v>
      </c>
    </row>
    <row r="6" spans="1:8" x14ac:dyDescent="0.35">
      <c r="A6" s="15" t="s">
        <v>57</v>
      </c>
      <c r="B6" s="3">
        <v>2779895</v>
      </c>
      <c r="D6" s="15" t="s">
        <v>57</v>
      </c>
      <c r="E6" s="4">
        <v>541195</v>
      </c>
      <c r="G6" s="15" t="s">
        <v>57</v>
      </c>
      <c r="H6" s="1">
        <v>253</v>
      </c>
    </row>
    <row r="7" spans="1:8" x14ac:dyDescent="0.35">
      <c r="A7" s="15" t="s">
        <v>40</v>
      </c>
      <c r="B7" s="3">
        <v>4163590</v>
      </c>
      <c r="D7" s="15" t="s">
        <v>40</v>
      </c>
      <c r="E7" s="4">
        <v>802440</v>
      </c>
      <c r="G7" s="15" t="s">
        <v>40</v>
      </c>
      <c r="H7" s="1">
        <v>357</v>
      </c>
    </row>
    <row r="11" spans="1:8" x14ac:dyDescent="0.35">
      <c r="A11" s="14" t="s">
        <v>37</v>
      </c>
      <c r="B11" t="s">
        <v>112</v>
      </c>
      <c r="D11" s="14" t="s">
        <v>37</v>
      </c>
      <c r="E11" t="s">
        <v>113</v>
      </c>
    </row>
    <row r="12" spans="1:8" x14ac:dyDescent="0.35">
      <c r="A12" s="15" t="s">
        <v>46</v>
      </c>
      <c r="B12" s="1">
        <v>285</v>
      </c>
      <c r="D12" s="15" t="s">
        <v>46</v>
      </c>
      <c r="E12" s="1">
        <v>20</v>
      </c>
    </row>
    <row r="13" spans="1:8" x14ac:dyDescent="0.35">
      <c r="A13" s="15" t="s">
        <v>65</v>
      </c>
      <c r="B13" s="1">
        <v>220</v>
      </c>
      <c r="D13" s="15" t="s">
        <v>65</v>
      </c>
      <c r="E13" s="1">
        <v>15</v>
      </c>
    </row>
    <row r="14" spans="1:8" x14ac:dyDescent="0.35">
      <c r="A14" s="15" t="s">
        <v>43</v>
      </c>
      <c r="B14" s="1">
        <v>357</v>
      </c>
      <c r="D14" s="15" t="s">
        <v>43</v>
      </c>
      <c r="E14" s="1">
        <v>24</v>
      </c>
    </row>
    <row r="15" spans="1:8" x14ac:dyDescent="0.35">
      <c r="A15" s="15" t="s">
        <v>57</v>
      </c>
      <c r="B15" s="1">
        <v>253</v>
      </c>
      <c r="D15" s="15" t="s">
        <v>57</v>
      </c>
      <c r="E15" s="1">
        <v>17</v>
      </c>
    </row>
    <row r="16" spans="1:8" x14ac:dyDescent="0.35">
      <c r="A16" s="15" t="s">
        <v>40</v>
      </c>
      <c r="B16" s="1">
        <v>357</v>
      </c>
      <c r="D16" s="15" t="s">
        <v>40</v>
      </c>
      <c r="E16" s="1">
        <v>24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DBE4BE-EDF9-4CB7-A472-A42D2D858A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</vt:lpstr>
      <vt:lpstr>ReadMe</vt:lpstr>
      <vt:lpstr>SalesData</vt:lpstr>
      <vt:lpstr>ProductMaster</vt:lpstr>
      <vt:lpstr>Q5Answers</vt:lpstr>
      <vt:lpstr>Q1&amp;Q2&amp;Q4&amp;Orders</vt:lpstr>
      <vt:lpstr>OrderDetails</vt:lpstr>
      <vt:lpstr>Q3Answers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ASDC50</dc:creator>
  <cp:lastModifiedBy>ASDC50</cp:lastModifiedBy>
  <dcterms:created xsi:type="dcterms:W3CDTF">2026-10-24T10:25:05Z</dcterms:created>
  <dcterms:modified xsi:type="dcterms:W3CDTF">2026-10-24T11:53:57Z</dcterms:modified>
</cp:coreProperties>
</file>